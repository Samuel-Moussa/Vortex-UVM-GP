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Traceability Matrix" sheetId="3" state="visible" r:id="rId3"/>
    <sheet xmlns:r="http://schemas.openxmlformats.org/officeDocument/2006/relationships" name="Feature Coverage" sheetId="4" state="visible" r:id="rId4"/>
    <sheet xmlns:r="http://schemas.openxmlformats.org/officeDocument/2006/relationships" name="Corner Cases" sheetId="5" state="visible" r:id="rId5"/>
    <sheet xmlns:r="http://schemas.openxmlformats.org/officeDocument/2006/relationships" name="Test Environment" sheetId="6" state="visible" r:id="rId6"/>
    <sheet xmlns:r="http://schemas.openxmlformats.org/officeDocument/2006/relationships" name="Sign-off &amp; Review" sheetId="7" state="visible" r:id="rId7"/>
    <sheet xmlns:r="http://schemas.openxmlformats.org/officeDocument/2006/relationships" name="Revision Histor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charset val="1"/>
      <family val="2"/>
      <color theme="1"/>
      <sz val="11"/>
    </font>
    <font>
      <name val="Arial"/>
      <charset val="1"/>
      <b val="1"/>
      <color rgb="FFFFFFFF"/>
      <sz val="18"/>
    </font>
    <font>
      <name val="Arial"/>
      <charset val="1"/>
      <color rgb="FFFFFFFF"/>
      <sz val="10"/>
    </font>
    <font>
      <name val="Arial"/>
      <charset val="1"/>
      <b val="1"/>
      <color rgb="FFFFFFFF"/>
      <sz val="12"/>
    </font>
    <font>
      <name val="Arial"/>
      <charset val="1"/>
      <b val="1"/>
      <color rgb="FF1F3864"/>
      <sz val="10"/>
    </font>
    <font>
      <name val="Arial"/>
      <charset val="1"/>
      <color rgb="FF000000"/>
      <sz val="10"/>
    </font>
    <font>
      <name val="Arial"/>
      <charset val="1"/>
      <b val="1"/>
      <color rgb="FFF4B942"/>
      <sz val="11"/>
    </font>
    <font>
      <name val="Arial"/>
      <charset val="1"/>
      <b val="1"/>
      <color rgb="FFFF0000"/>
      <sz val="11"/>
    </font>
    <font>
      <name val="Arial"/>
      <charset val="1"/>
      <b val="1"/>
      <color rgb="FF70AD47"/>
      <sz val="11"/>
    </font>
    <font>
      <name val="Arial"/>
      <charset val="1"/>
      <b val="1"/>
      <color rgb="FF70AD47"/>
      <sz val="10"/>
    </font>
    <font>
      <name val="Arial"/>
      <charset val="1"/>
      <b val="1"/>
      <color rgb="FFFF0000"/>
      <sz val="10"/>
    </font>
    <font>
      <name val="Arial"/>
      <charset val="1"/>
      <b val="1"/>
      <color rgb="FFED7D31"/>
      <sz val="10"/>
    </font>
    <font>
      <name val="Arial"/>
      <charset val="1"/>
      <b val="1"/>
      <color rgb="FF7030A0"/>
      <sz val="10"/>
    </font>
    <font>
      <name val="Arial"/>
      <charset val="1"/>
      <b val="1"/>
      <color rgb="FF808080"/>
      <sz val="10"/>
    </font>
    <font>
      <name val="Arial"/>
      <charset val="1"/>
      <b val="1"/>
      <color rgb="FFFFFFFF"/>
      <sz val="14"/>
    </font>
    <font>
      <name val="Arial"/>
      <charset val="1"/>
      <b val="1"/>
      <color rgb="FF7F6000"/>
      <sz val="10"/>
    </font>
    <font>
      <name val="Arial"/>
      <charset val="1"/>
      <b val="1"/>
      <color rgb="FFFFFFFF"/>
      <sz val="11"/>
    </font>
    <font>
      <name val="Arial"/>
      <charset val="1"/>
      <i val="1"/>
      <color rgb="FF000000"/>
      <sz val="10"/>
    </font>
    <font>
      <name val="Arial"/>
      <charset val="1"/>
      <b val="1"/>
      <color rgb="FF1F3864"/>
      <sz val="12"/>
    </font>
    <font>
      <name val="Arial"/>
      <charset val="1"/>
      <b val="1"/>
      <i val="1"/>
      <color rgb="FF7F6000"/>
      <sz val="12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F7A8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2F2F2"/>
      </patternFill>
    </fill>
  </fills>
  <borders count="8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9" fillId="8" borderId="3" applyAlignment="1" pivotButton="0" quotePrefix="0" xfId="0">
      <alignment horizontal="center" vertical="center" wrapText="1"/>
    </xf>
    <xf numFmtId="0" fontId="18" fillId="6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left" vertical="center" wrapText="1"/>
    </xf>
    <xf numFmtId="0" fontId="17" fillId="4" borderId="3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5" fillId="8" borderId="3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/>
    </xf>
    <xf numFmtId="0" fontId="5" fillId="6" borderId="3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5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7" fillId="4" borderId="3" applyAlignment="1" pivotButton="0" quotePrefix="0" xfId="0">
      <alignment horizontal="left" vertical="top" wrapText="1"/>
    </xf>
    <xf numFmtId="0" fontId="17" fillId="5" borderId="3" applyAlignment="1" pivotButton="0" quotePrefix="0" xfId="0">
      <alignment horizontal="left" vertical="top" wrapText="1"/>
    </xf>
    <xf numFmtId="0" fontId="19" fillId="8" borderId="3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7A8C"/>
      <rgbColor rgb="FFBFBFBF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2:F24"/>
  <sheetViews>
    <sheetView showGridLines="0" tabSelected="1" zoomScaleNormal="100" workbookViewId="0">
      <selection activeCell="I11" sqref="I11"/>
    </sheetView>
  </sheetViews>
  <sheetFormatPr baseColWidth="8" defaultColWidth="8.6640625" defaultRowHeight="14.4"/>
  <cols>
    <col width="3" customWidth="1" min="1" max="1"/>
    <col width="22" customWidth="1" min="2" max="2"/>
    <col width="30" customWidth="1" min="3" max="3"/>
    <col width="22" customWidth="1" min="4" max="4"/>
    <col width="18" customWidth="1" min="5" max="6"/>
  </cols>
  <sheetData>
    <row r="1" ht="7.5" customHeight="1"/>
    <row r="2" ht="43.5" customHeight="1">
      <c r="B2" s="11" t="inlineStr">
        <is>
          <t>📋  Digital Verification Test Plan</t>
        </is>
      </c>
      <c r="C2" s="35" t="n"/>
      <c r="D2" s="35" t="n"/>
      <c r="E2" s="35" t="n"/>
      <c r="F2" s="35" t="n"/>
    </row>
    <row r="3" ht="21.75" customHeight="1">
      <c r="B3" s="36" t="inlineStr">
        <is>
          <t>Project: Vortex RISC-V SIMT GPGPU UVM Verification   |   DUT: Vortex GPGPU (RV32IMAF, RTL @7a52ee5 + local fixes)   |   Date: 2026-09-07   |   Engineer: Samuel Moussa</t>
        </is>
      </c>
      <c r="C3" s="35" t="n"/>
      <c r="D3" s="35" t="n"/>
      <c r="E3" s="35" t="n"/>
      <c r="F3" s="35" t="n"/>
    </row>
    <row r="5" ht="18" customHeight="1">
      <c r="B5" s="9" t="inlineStr">
        <is>
          <t>Workbook Index</t>
        </is>
      </c>
      <c r="C5" s="35" t="n"/>
      <c r="D5" s="35" t="n"/>
      <c r="E5" s="35" t="n"/>
      <c r="F5" s="35" t="n"/>
    </row>
    <row r="6" ht="26.4" customHeight="1">
      <c r="B6" s="12" t="inlineStr">
        <is>
          <t>Test Plan</t>
        </is>
      </c>
      <c r="C6" s="13" t="inlineStr">
        <is>
          <t>Test items, cases, stimulus, pass criteria, intent</t>
        </is>
      </c>
      <c r="D6" s="14" t="inlineStr">
        <is>
          <t>Sheet 1</t>
        </is>
      </c>
    </row>
    <row r="7" ht="26.4" customHeight="1">
      <c r="B7" s="15" t="inlineStr">
        <is>
          <t>Traceability Matrix</t>
        </is>
      </c>
      <c r="C7" s="16" t="inlineStr">
        <is>
          <t>Spec section ↔ Requirement ↔ Test Case + closure %</t>
        </is>
      </c>
      <c r="D7" s="17" t="inlineStr">
        <is>
          <t>Sheet 2</t>
        </is>
      </c>
    </row>
    <row r="8" ht="26.4" customHeight="1">
      <c r="B8" s="12" t="inlineStr">
        <is>
          <t>Feature Coverage</t>
        </is>
      </c>
      <c r="C8" s="13" t="inlineStr">
        <is>
          <t>Feature, cascaded &amp; negative scenario coverage</t>
        </is>
      </c>
      <c r="D8" s="14" t="inlineStr">
        <is>
          <t>Sheet 3</t>
        </is>
      </c>
    </row>
    <row r="9" ht="26.4" customHeight="1">
      <c r="B9" s="15" t="inlineStr">
        <is>
          <t>Corner Cases</t>
        </is>
      </c>
      <c r="C9" s="16" t="inlineStr">
        <is>
          <t>Data corner cases, toggle coverage</t>
        </is>
      </c>
      <c r="D9" s="17" t="inlineStr">
        <is>
          <t>Sheet 4</t>
        </is>
      </c>
    </row>
    <row r="10" ht="26.4" customHeight="1">
      <c r="B10" s="12" t="inlineStr">
        <is>
          <t>Test Environment</t>
        </is>
      </c>
      <c r="C10" s="13" t="inlineStr">
        <is>
          <t>Methodology, tools, DUT configuration</t>
        </is>
      </c>
      <c r="D10" s="14" t="inlineStr">
        <is>
          <t>Sheet 5</t>
        </is>
      </c>
    </row>
    <row r="11" ht="26.4" customHeight="1">
      <c r="B11" s="15" t="inlineStr">
        <is>
          <t>Sign-off &amp; Review</t>
        </is>
      </c>
      <c r="C11" s="16" t="inlineStr">
        <is>
          <t>Approval signatures, review comments</t>
        </is>
      </c>
      <c r="D11" s="17" t="inlineStr">
        <is>
          <t>Sheet 6</t>
        </is>
      </c>
    </row>
    <row r="12">
      <c r="B12" s="12" t="inlineStr">
        <is>
          <t>Revision History</t>
        </is>
      </c>
      <c r="C12" s="13" t="inlineStr">
        <is>
          <t>Document version log</t>
        </is>
      </c>
      <c r="D12" s="14" t="inlineStr">
        <is>
          <t>Sheet 7</t>
        </is>
      </c>
    </row>
    <row r="14" ht="13.5" customHeight="1">
      <c r="B14" s="9" t="inlineStr">
        <is>
          <t>Priority Legend</t>
        </is>
      </c>
      <c r="C14" s="35" t="n"/>
      <c r="D14" s="35" t="n"/>
      <c r="E14" s="35" t="n"/>
      <c r="F14" s="35" t="n"/>
    </row>
    <row r="15" ht="18" customHeight="1">
      <c r="B15" s="18" t="inlineStr">
        <is>
          <t>P0</t>
        </is>
      </c>
      <c r="C15" s="8" t="inlineStr">
        <is>
          <t>Critical — must pass before tapeout</t>
        </is>
      </c>
      <c r="D15" s="37" t="n"/>
      <c r="E15" s="37" t="n"/>
      <c r="F15" s="37" t="n"/>
    </row>
    <row r="16" ht="18" customHeight="1">
      <c r="B16" s="19" t="inlineStr">
        <is>
          <t>P1</t>
        </is>
      </c>
      <c r="C16" s="8" t="inlineStr">
        <is>
          <t>High — must pass before sign-off</t>
        </is>
      </c>
      <c r="D16" s="37" t="n"/>
      <c r="E16" s="37" t="n"/>
      <c r="F16" s="37" t="n"/>
    </row>
    <row r="17" ht="18" customHeight="1">
      <c r="B17" s="20" t="inlineStr">
        <is>
          <t>P2</t>
        </is>
      </c>
      <c r="C17" s="8" t="inlineStr">
        <is>
          <t>Medium — best effort</t>
        </is>
      </c>
      <c r="D17" s="37" t="n"/>
      <c r="E17" s="37" t="n"/>
      <c r="F17" s="37" t="n"/>
    </row>
    <row r="19" ht="13.5" customHeight="1">
      <c r="B19" s="9" t="inlineStr">
        <is>
          <t>Status Legend</t>
        </is>
      </c>
      <c r="C19" s="35" t="n"/>
      <c r="D19" s="35" t="n"/>
      <c r="E19" s="35" t="n"/>
      <c r="F19" s="35" t="n"/>
    </row>
    <row r="20" ht="18" customHeight="1">
      <c r="B20" s="21" t="inlineStr">
        <is>
          <t>PASS</t>
        </is>
      </c>
      <c r="C20" s="8" t="inlineStr">
        <is>
          <t>Test case passed all criteria</t>
        </is>
      </c>
      <c r="D20" s="37" t="n"/>
      <c r="E20" s="37" t="n"/>
      <c r="F20" s="37" t="n"/>
    </row>
    <row r="21" ht="18" customHeight="1">
      <c r="B21" s="22" t="inlineStr">
        <is>
          <t>FAIL</t>
        </is>
      </c>
      <c r="C21" s="8" t="inlineStr">
        <is>
          <t>Test case failed one or more criteria</t>
        </is>
      </c>
      <c r="D21" s="37" t="n"/>
      <c r="E21" s="37" t="n"/>
      <c r="F21" s="37" t="n"/>
    </row>
    <row r="22" ht="18" customHeight="1">
      <c r="B22" s="23" t="inlineStr">
        <is>
          <t>WIP</t>
        </is>
      </c>
      <c r="C22" s="8" t="inlineStr">
        <is>
          <t>Work in progress</t>
        </is>
      </c>
      <c r="D22" s="37" t="n"/>
      <c r="E22" s="37" t="n"/>
      <c r="F22" s="37" t="n"/>
    </row>
    <row r="23" ht="18" customHeight="1">
      <c r="B23" s="24" t="inlineStr">
        <is>
          <t>BLOCK</t>
        </is>
      </c>
      <c r="C23" s="8" t="inlineStr">
        <is>
          <t>Blocked by upstream issue</t>
        </is>
      </c>
      <c r="D23" s="37" t="n"/>
      <c r="E23" s="37" t="n"/>
      <c r="F23" s="37" t="n"/>
    </row>
    <row r="24" ht="18" customHeight="1">
      <c r="B24" s="25" t="inlineStr">
        <is>
          <t>N/A</t>
        </is>
      </c>
      <c r="C24" s="8" t="inlineStr">
        <is>
          <t>Not applicable for this DUT config</t>
        </is>
      </c>
      <c r="D24" s="37" t="n"/>
      <c r="E24" s="37" t="n"/>
      <c r="F24" s="37" t="n"/>
    </row>
  </sheetData>
  <mergeCells count="13">
    <mergeCell ref="C22:F22"/>
    <mergeCell ref="C23:F23"/>
    <mergeCell ref="C17:F17"/>
    <mergeCell ref="B2:F2"/>
    <mergeCell ref="C20:F20"/>
    <mergeCell ref="B3:F3"/>
    <mergeCell ref="B19:F19"/>
    <mergeCell ref="B5:F5"/>
    <mergeCell ref="C21:F21"/>
    <mergeCell ref="C16:F16"/>
    <mergeCell ref="C15:F15"/>
    <mergeCell ref="B14:F14"/>
    <mergeCell ref="C24:F2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B2:Q2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0" customWidth="1" min="2" max="2"/>
    <col width="22" customWidth="1" min="3" max="3"/>
    <col width="20" customWidth="1" min="4" max="4"/>
    <col width="26" customWidth="1" min="5" max="8"/>
    <col width="24" customWidth="1" min="9" max="11"/>
    <col width="22" customWidth="1" min="12" max="12"/>
    <col width="16" customWidth="1" min="13" max="13"/>
    <col width="10" customWidth="1" min="14" max="15"/>
    <col width="26" customWidth="1" min="16" max="16"/>
  </cols>
  <sheetData>
    <row r="1" ht="7.5" customHeight="1"/>
    <row r="2" ht="30" customHeight="1">
      <c r="B2" s="7" t="inlineStr">
        <is>
          <t>Test Plan — Main Table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</row>
    <row r="3" ht="43.5" customHeight="1">
      <c r="B3" s="26" t="inlineStr">
        <is>
          <t>Test
Item ID</t>
        </is>
      </c>
      <c r="C3" s="26" t="inlineStr">
        <is>
          <t>Test Item Name</t>
        </is>
      </c>
      <c r="D3" s="26" t="inlineStr">
        <is>
          <t>Feature
Under Test</t>
        </is>
      </c>
      <c r="E3" s="26" t="inlineStr">
        <is>
          <t>Test Case
Definition</t>
        </is>
      </c>
      <c r="F3" s="26" t="inlineStr">
        <is>
          <t>Stimulus /
Approach</t>
        </is>
      </c>
      <c r="G3" s="26" t="inlineStr">
        <is>
          <t>Expected
Output</t>
        </is>
      </c>
      <c r="H3" s="26" t="inlineStr">
        <is>
          <t>Pass
Criteria</t>
        </is>
      </c>
      <c r="I3" s="26" t="inlineStr">
        <is>
          <t>Intent of
Testing</t>
        </is>
      </c>
      <c r="J3" s="26" t="inlineStr">
        <is>
          <t>Cascaded Features
(Mix &amp; Match)</t>
        </is>
      </c>
      <c r="K3" s="26" t="inlineStr">
        <is>
          <t>Negative
Scenarios</t>
        </is>
      </c>
      <c r="L3" s="26" t="inlineStr">
        <is>
          <t>Data: Corner
Cases</t>
        </is>
      </c>
      <c r="M3" s="26" t="inlineStr">
        <is>
          <t>Toggle
Coverage</t>
        </is>
      </c>
      <c r="N3" s="26" t="inlineStr">
        <is>
          <t>Priority</t>
        </is>
      </c>
      <c r="O3" s="26" t="inlineStr">
        <is>
          <t>Status</t>
        </is>
      </c>
      <c r="P3" s="26" t="inlineStr">
        <is>
          <t>Notes / References</t>
        </is>
      </c>
    </row>
    <row r="4" ht="43.5" customHeight="1">
      <c r="B4" s="38" t="inlineStr">
        <is>
          <t>TP-01</t>
        </is>
      </c>
      <c r="C4" s="38" t="inlineStr">
        <is>
          <t>Tag/ID width derivation (C1)</t>
        </is>
      </c>
      <c r="D4" s="38" t="inlineStr">
        <is>
          <t>AXI/mem tag width</t>
        </is>
      </c>
      <c r="E4" s="38" t="inlineStr">
        <is>
          <t>UVM tag width must equal RTL VX_MEM_TAG_WIDTH, not a hardcoded constant</t>
        </is>
      </c>
      <c r="F4" s="38" t="inlineStr">
        <is>
          <t>Elaborate + read plusarg vs RTL param, assert equal</t>
        </is>
      </c>
      <c r="G4" s="38" t="inlineStr">
        <is>
          <t>Elaboration assert passes; clean kernel run unaffected</t>
        </is>
      </c>
      <c r="H4" s="38" t="inlineStr">
        <is>
          <t>0 elaboration fatals; hello.elf PASS, Errors:0</t>
        </is>
      </c>
      <c r="I4" s="38" t="inlineStr">
        <is>
          <t>Trust the bench before trusting any result it reports</t>
        </is>
      </c>
      <c r="J4" s="38" t="inlineStr">
        <is>
          <t>D-matrix (any config)</t>
        </is>
      </c>
      <c r="K4" s="38" t="inlineStr">
        <is>
          <t>Stale/mismatched width</t>
        </is>
      </c>
      <c r="L4" s="38" t="inlineStr">
        <is>
          <t>N/A</t>
        </is>
      </c>
      <c r="M4" s="38" t="inlineStr">
        <is>
          <t>N/A</t>
        </is>
      </c>
      <c r="N4" s="38" t="inlineStr">
        <is>
          <t>P0</t>
        </is>
      </c>
      <c r="O4" s="38" t="inlineStr">
        <is>
          <t>PASS</t>
        </is>
      </c>
      <c r="P4" s="38" t="inlineStr">
        <is>
          <t>CLAUDE.md Gate-0 C1; commit 4c36bd82</t>
        </is>
      </c>
    </row>
    <row r="5" ht="43.5" customHeight="1">
      <c r="B5" s="39" t="inlineStr">
        <is>
          <t>TP-02</t>
        </is>
      </c>
      <c r="C5" s="39" t="inlineStr">
        <is>
          <t>Real completion trigger (C3)</t>
        </is>
      </c>
      <c r="D5" s="39" t="inlineStr">
        <is>
          <t>Kernel completion detection</t>
        </is>
      </c>
      <c r="E5" s="39" t="inlineStr">
        <is>
          <t>Completion must fire on real decoded EBREAK across ALL cores, not a busy-heuristic only</t>
        </is>
      </c>
      <c r="F5" s="39" t="inlineStr">
        <is>
          <t>Run kernel_launch_test to natural completion</t>
        </is>
      </c>
      <c r="G5" s="39" t="inlineStr">
        <is>
          <t>EBREAK decoded (0x00100073) drives completion; idle-path is warning-only fallback</t>
        </is>
      </c>
      <c r="H5" s="39" t="inlineStr">
        <is>
          <t>hello.elf PASS, Errors:0; fallback never the primary trigger</t>
        </is>
      </c>
      <c r="I5" s="39" t="inlineStr">
        <is>
          <t>Remove a hardcoded/binary-specific completion hack</t>
        </is>
      </c>
      <c r="J5" s="39" t="inlineStr">
        <is>
          <t>multi-core (I1 generate loop)</t>
        </is>
      </c>
      <c r="K5" s="39" t="inlineStr">
        <is>
          <t>Completion never fires (hang)</t>
        </is>
      </c>
      <c r="L5" s="39" t="inlineStr">
        <is>
          <t>N/A</t>
        </is>
      </c>
      <c r="M5" s="39" t="inlineStr">
        <is>
          <t>N/A</t>
        </is>
      </c>
      <c r="N5" s="39" t="inlineStr">
        <is>
          <t>P0</t>
        </is>
      </c>
      <c r="O5" s="39" t="inlineStr">
        <is>
          <t>PASS</t>
        </is>
      </c>
      <c r="P5" s="39" t="inlineStr">
        <is>
          <t>CLAUDE.md Gate-0 C3; commits 7764ba14, 11f71359</t>
        </is>
      </c>
    </row>
    <row r="6" ht="43.5" customHeight="1">
      <c r="B6" s="38" t="inlineStr">
        <is>
          <t>TP-03</t>
        </is>
      </c>
      <c r="C6" s="38" t="inlineStr">
        <is>
          <t>Real retirement count (C2)</t>
        </is>
      </c>
      <c r="D6" s="38" t="inlineStr">
        <is>
          <t>Instruction count / IPC</t>
        </is>
      </c>
      <c r="E6" s="38" t="inlineStr">
        <is>
          <t>instr_count must come from the real commit_arb_if retirement handshake, never mem_ops%3</t>
        </is>
      </c>
      <c r="F6" s="38" t="inlineStr">
        <is>
          <t>Tap commit_arb_if[*].valid&amp;&amp;ready across all lanes/cores</t>
        </is>
      </c>
      <c r="G6" s="38" t="inlineStr">
        <is>
          <t>IPC matches a real per-lane popcount, not a fabricated ratio</t>
        </is>
      </c>
      <c r="H6" s="38" t="inlineStr">
        <is>
          <t>vecadd: Instructions=12798, IPC=0.128 (real, non-fabricated)</t>
        </is>
      </c>
      <c r="I6" s="38" t="inlineStr">
        <is>
          <t>A coverage/perf number must measure the real DUT, not a proxy</t>
        </is>
      </c>
      <c r="J6" s="38" t="inlineStr">
        <is>
          <t>D-matrix</t>
        </is>
      </c>
      <c r="K6" s="38" t="inlineStr">
        <is>
          <t>Fabricated count masking a stall</t>
        </is>
      </c>
      <c r="L6" s="38" t="inlineStr">
        <is>
          <t>N/A</t>
        </is>
      </c>
      <c r="M6" s="38" t="inlineStr">
        <is>
          <t>toggle: commit_arb_if.valid/ready</t>
        </is>
      </c>
      <c r="N6" s="38" t="inlineStr">
        <is>
          <t>P0</t>
        </is>
      </c>
      <c r="O6" s="38" t="inlineStr">
        <is>
          <t>PASS</t>
        </is>
      </c>
      <c r="P6" s="38" t="inlineStr">
        <is>
          <t>CLAUDE.md Gate-0 C2; commits 22115864, 11f71359</t>
        </is>
      </c>
    </row>
    <row r="7" ht="43.5" customHeight="1">
      <c r="B7" s="39" t="inlineStr">
        <is>
          <t>TP-04</t>
        </is>
      </c>
      <c r="C7" s="39" t="inlineStr">
        <is>
          <t>Honest UVM_ERROR gate (T4)</t>
        </is>
      </c>
      <c r="D7" s="39" t="inlineStr">
        <is>
          <t>Pass/fail verdict</t>
        </is>
      </c>
      <c r="E7" s="39" t="inlineStr">
        <is>
          <t>Gate on the true UVM_ERROR count; no '-2' subtraction hiding real errors</t>
        </is>
      </c>
      <c r="F7" s="39" t="inlineStr">
        <is>
          <t>Run negative_result_test with +INJECT_FAULT</t>
        </is>
      </c>
      <c r="G7" s="39" t="inlineStr">
        <is>
          <t>Injected fault is reported, not silently subtracted away</t>
        </is>
      </c>
      <c r="H7" s="39" t="inlineStr">
        <is>
          <t>Injected corruption at 0x800075d8 detected; verdict FAIL as required</t>
        </is>
      </c>
      <c r="I7" s="39" t="inlineStr">
        <is>
          <t>A checker never observed to fail is indistinguishable from absent</t>
        </is>
      </c>
      <c r="J7" s="39" t="inlineStr">
        <is>
          <t>negative_dropped_store_test</t>
        </is>
      </c>
      <c r="K7" s="39" t="inlineStr">
        <is>
          <t>Wrong-value fault injection (+INJECT_FAULT)</t>
        </is>
      </c>
      <c r="L7" s="39" t="inlineStr">
        <is>
          <t>N/A</t>
        </is>
      </c>
      <c r="M7" s="39" t="inlineStr">
        <is>
          <t>N/A</t>
        </is>
      </c>
      <c r="N7" s="39" t="inlineStr">
        <is>
          <t>P0</t>
        </is>
      </c>
      <c r="O7" s="39" t="inlineStr">
        <is>
          <t>PASS</t>
        </is>
      </c>
      <c r="P7" s="39" t="inlineStr">
        <is>
          <t>CLAUDE.md Gate-0 T4; commit e087a78f, validated 2026-06-29</t>
        </is>
      </c>
    </row>
    <row r="8" ht="43.5" customHeight="1">
      <c r="B8" s="38" t="inlineStr">
        <is>
          <t>TP-05</t>
        </is>
      </c>
      <c r="C8" s="38" t="inlineStr">
        <is>
          <t>Gate-0 sign-off (bidirectional SB)</t>
        </is>
      </c>
      <c r="D8" s="38" t="inlineStr">
        <is>
          <t>End-state scoreboard</t>
        </is>
      </c>
      <c r="E8" s="38" t="inlineStr">
        <is>
          <t>Both fault classes (wrong-value, dropped-store) must be provably catchable, standing as the permanent regression guard</t>
        </is>
      </c>
      <c r="F8" s="38" t="inlineStr">
        <is>
          <t>+INJECT_FAULT and +DROP_STORE, re-run after every change</t>
        </is>
      </c>
      <c r="G8" s="38" t="inlineStr">
        <is>
          <t>Both negative tests RED on injection; clean runs 0 errors</t>
        </is>
      </c>
      <c r="H8" s="38" t="inlineStr">
        <is>
          <t>4/4 injection guards red at defense time</t>
        </is>
      </c>
      <c r="I8" s="38" t="inlineStr">
        <is>
          <t>No result is trustworthy until the checker is proven able to fail</t>
        </is>
      </c>
      <c r="J8" s="38" t="inlineStr">
        <is>
          <t>every regression run</t>
        </is>
      </c>
      <c r="K8" s="38" t="inlineStr">
        <is>
          <t>dropped store (+DROP_STORE)</t>
        </is>
      </c>
      <c r="L8" s="38" t="inlineStr">
        <is>
          <t>N/A</t>
        </is>
      </c>
      <c r="M8" s="38" t="inlineStr">
        <is>
          <t>N/A</t>
        </is>
      </c>
      <c r="N8" s="38" t="inlineStr">
        <is>
          <t>P0</t>
        </is>
      </c>
      <c r="O8" s="38" t="inlineStr">
        <is>
          <t>PASS</t>
        </is>
      </c>
      <c r="P8" s="38" t="inlineStr">
        <is>
          <t>CLAUDE.md Gate-0 sign-off (closed 2026-08-11); SB-DIR commit fe10b83</t>
        </is>
      </c>
    </row>
    <row r="9" ht="43.5" customHeight="1">
      <c r="B9" s="39" t="inlineStr">
        <is>
          <t>TP-06</t>
        </is>
      </c>
      <c r="C9" s="39" t="inlineStr">
        <is>
          <t>Multi-core probe generality (I1)</t>
        </is>
      </c>
      <c r="D9" s="39" t="inlineStr">
        <is>
          <t>Probe scalability</t>
        </is>
      </c>
      <c r="E9" s="39" t="inlineStr">
        <is>
          <t>Commit/EBREAK probes must generate over ALL clusters/sockets/cores/issue-lanes, not just core 0</t>
        </is>
      </c>
      <c r="F9" s="39" t="inlineStr">
        <is>
          <t>Elaborate at 2CL/2C/4W/4T and re-run C2/C3 checks</t>
        </is>
      </c>
      <c r="G9" s="39" t="inlineStr">
        <is>
          <t>Probes scale automatically with topology, no manual re-wiring</t>
        </is>
      </c>
      <c r="H9" s="39" t="inlineStr">
        <is>
          <t>2CL run: probes correct with 0 code changes</t>
        </is>
      </c>
      <c r="I9" s="39" t="inlineStr">
        <is>
          <t>A testbench that only works at one topology isn't reusable</t>
        </is>
      </c>
      <c r="J9" s="39" t="inlineStr">
        <is>
          <t>D-matrix</t>
        </is>
      </c>
      <c r="K9" s="39" t="inlineStr">
        <is>
          <t>N/A</t>
        </is>
      </c>
      <c r="L9" s="39" t="inlineStr">
        <is>
          <t>N/A</t>
        </is>
      </c>
      <c r="M9" s="39" t="inlineStr">
        <is>
          <t>N/A</t>
        </is>
      </c>
      <c r="N9" s="39" t="inlineStr">
        <is>
          <t>P1</t>
        </is>
      </c>
      <c r="O9" s="39" t="inlineStr">
        <is>
          <t>PASS</t>
        </is>
      </c>
      <c r="P9" s="39" t="inlineStr">
        <is>
          <t>CLAUDE.md Tier-1 I1; commit 11f71359</t>
        </is>
      </c>
    </row>
    <row r="10" ht="43.5" customHeight="1">
      <c r="B10" s="38" t="inlineStr">
        <is>
          <t>TP-07</t>
        </is>
      </c>
      <c r="C10" s="38" t="inlineStr">
        <is>
          <t>Topology elaboration asserts (I2)</t>
        </is>
      </c>
      <c r="D10" s="38" t="inlineStr">
        <is>
          <t>Config integrity</t>
        </is>
      </c>
      <c r="E10" s="38" t="inlineStr">
        <is>
          <t>UVM plusarg topology must equal the compiled RTL topology, or abort loudly at time 0</t>
        </is>
      </c>
      <c r="F10" s="38" t="inlineStr">
        <is>
          <t>sim-only with a deliberately mismatched CLUSTERS/CORES/WARPS/THREADS</t>
        </is>
      </c>
      <c r="G10" s="38" t="inlineStr">
        <is>
          <t>Fatal with a named mismatch, never silent garbage</t>
        </is>
      </c>
      <c r="H10" s="38" t="inlineStr">
        <is>
          <t>'[I2-ASSERT] NUM_CLUSTERS: plusarg=2 but RTL compiled with 1' + abort</t>
        </is>
      </c>
      <c r="I10" s="38" t="inlineStr">
        <is>
          <t>Silent config drift is worse than a loud failure</t>
        </is>
      </c>
      <c r="J10" s="38" t="inlineStr">
        <is>
          <t>D-matrix, all configs</t>
        </is>
      </c>
      <c r="K10" s="38" t="inlineStr">
        <is>
          <t>stale sim-only run</t>
        </is>
      </c>
      <c r="L10" s="38" t="inlineStr">
        <is>
          <t>N/A</t>
        </is>
      </c>
      <c r="M10" s="38" t="inlineStr">
        <is>
          <t>N/A</t>
        </is>
      </c>
      <c r="N10" s="38" t="inlineStr">
        <is>
          <t>P0</t>
        </is>
      </c>
      <c r="O10" s="38" t="inlineStr">
        <is>
          <t>PASS</t>
        </is>
      </c>
      <c r="P10" s="38" t="inlineStr">
        <is>
          <t>CLAUDE.md Tier-1 I2; commit 37cfce55</t>
        </is>
      </c>
    </row>
    <row r="11" ht="43.5" customHeight="1">
      <c r="B11" s="39" t="inlineStr">
        <is>
          <t>TP-08</t>
        </is>
      </c>
      <c r="C11" s="39" t="inlineStr">
        <is>
          <t>SimX param-match (I3)</t>
        </is>
      </c>
      <c r="D11" s="39" t="inlineStr">
        <is>
          <t>Golden-model config fidelity</t>
        </is>
      </c>
      <c r="E11" s="39" t="inlineStr">
        <is>
          <t>SimX core objects must be rebuilt per-config so the golden model models the SAME topology as the DUT</t>
        </is>
      </c>
      <c r="F11" s="39" t="inlineStr">
        <is>
          <t>Inspect simx_config.stamp after a 2CL/2C/4W/4T suite run</t>
        </is>
      </c>
      <c r="G11" s="39" t="inlineStr">
        <is>
          <t>Stamp shows matching -D macros to the DUT build</t>
        </is>
      </c>
      <c r="H11" s="39" t="inlineStr">
        <is>
          <t>simx_config.stamp confirmed 2CL/2C/4W/4T match, verified 2026-08-12</t>
        </is>
      </c>
      <c r="I11" s="39" t="inlineStr">
        <is>
          <t>A mismatched golden model makes every compare meaningless</t>
        </is>
      </c>
      <c r="J11" s="39" t="inlineStr">
        <is>
          <t>D-matrix</t>
        </is>
      </c>
      <c r="K11" s="39" t="inlineStr">
        <is>
          <t>N/A</t>
        </is>
      </c>
      <c r="L11" s="39" t="inlineStr">
        <is>
          <t>N/A</t>
        </is>
      </c>
      <c r="M11" s="39" t="inlineStr">
        <is>
          <t>N/A</t>
        </is>
      </c>
      <c r="N11" s="39" t="inlineStr">
        <is>
          <t>P0</t>
        </is>
      </c>
      <c r="O11" s="39" t="inlineStr">
        <is>
          <t>PASS</t>
        </is>
      </c>
      <c r="P11" s="39" t="inlineStr">
        <is>
          <t>CLAUDE.md Tier-1 I3</t>
        </is>
      </c>
    </row>
    <row r="12" ht="43.5" customHeight="1">
      <c r="B12" s="38" t="inlineStr">
        <is>
          <t>TP-09</t>
        </is>
      </c>
      <c r="C12" s="38" t="inlineStr">
        <is>
          <t>Passive commit probe (P1-bind)</t>
        </is>
      </c>
      <c r="D12" s="38" t="inlineStr">
        <is>
          <t>Observability layer</t>
        </is>
      </c>
      <c r="E12" s="38" t="inlineStr">
        <is>
          <t>bind a read-only, non-modport probe on commit_arb_if; must never act as a checker</t>
        </is>
      </c>
      <c r="F12" s="38" t="inlineStr">
        <is>
          <t>riscv-dv stress run with the probe bound</t>
        </is>
      </c>
      <c r="G12" s="38" t="inlineStr">
        <is>
          <t>initial assert($bits(uuid)&gt;1) silent; 0 UVM_ERROR/FATAL</t>
        </is>
      </c>
      <c r="H12" s="38" t="inlineStr">
        <is>
          <t>riscv-dv PASS, [P1-PROBE] assert silent</t>
        </is>
      </c>
      <c r="I12" s="38" t="inlineStr">
        <is>
          <t>Coverage sampling must never influence pass/fail</t>
        </is>
      </c>
      <c r="J12" s="38" t="inlineStr">
        <is>
          <t>all coverage-bearing tests</t>
        </is>
      </c>
      <c r="K12" s="38" t="inlineStr">
        <is>
          <t>degenerate uuid width</t>
        </is>
      </c>
      <c r="L12" s="38" t="inlineStr">
        <is>
          <t>N/A</t>
        </is>
      </c>
      <c r="M12" s="38" t="inlineStr">
        <is>
          <t>uuid, wid, sid, tmask, PC, wb, rd, data</t>
        </is>
      </c>
      <c r="N12" s="38" t="inlineStr">
        <is>
          <t>P1</t>
        </is>
      </c>
      <c r="O12" s="38" t="inlineStr">
        <is>
          <t>PASS</t>
        </is>
      </c>
      <c r="P12" s="38" t="inlineStr">
        <is>
          <t>CLAUDE.md Tier-1 P1-bind; vx_commit_probe.sv</t>
        </is>
      </c>
    </row>
    <row r="13" ht="43.5" customHeight="1">
      <c r="B13" s="39" t="inlineStr">
        <is>
          <t>TP-10</t>
        </is>
      </c>
      <c r="C13" s="39" t="inlineStr">
        <is>
          <t>Kernel launch — native kernels</t>
        </is>
      </c>
      <c r="D13" s="39" t="inlineStr">
        <is>
          <t>End-to-end kernel execution</t>
        </is>
      </c>
      <c r="E13" s="39" t="inlineStr">
        <is>
          <t>Vortex kernel ELF runs to completion; DUT vs SimX end-state + lockstep compare</t>
        </is>
      </c>
      <c r="F13" s="39" t="inlineStr">
        <is>
          <t>vecadd_lite, fibonacci, hello, tcu_mt, fpu_mt, cache_tier, lmem_stress, mshr_flood, etc.</t>
        </is>
      </c>
      <c r="G13" s="39" t="inlineStr">
        <is>
          <t>Byte-exact end-state match, 0 lockstep mismatches</t>
        </is>
      </c>
      <c r="H13" s="39" t="inlineStr">
        <is>
          <t>0/0 mismatches per run; up to 32,836 words compared (wide_stress)</t>
        </is>
      </c>
      <c r="I13" s="39" t="inlineStr">
        <is>
          <t>Prove the golden reference and the DUT agree on real workloads</t>
        </is>
      </c>
      <c r="J13" s="39" t="inlineStr">
        <is>
          <t>riscv-dv, host_coverage_test</t>
        </is>
      </c>
      <c r="K13" s="39" t="inlineStr">
        <is>
          <t>dropped/wrong-value fault injection</t>
        </is>
      </c>
      <c r="L13" s="39" t="inlineStr">
        <is>
          <t>div_edge corners; text_big 232KB resident text</t>
        </is>
      </c>
      <c r="M13" s="39" t="inlineStr">
        <is>
          <t>instr_class per unit; cache_event_cg</t>
        </is>
      </c>
      <c r="N13" s="39" t="inlineStr">
        <is>
          <t>P0</t>
        </is>
      </c>
      <c r="O13" s="39" t="inlineStr">
        <is>
          <t>PASS</t>
        </is>
      </c>
      <c r="P13" s="39" t="inlineStr">
        <is>
          <t>README Tests table; 51/51 in primary bank</t>
        </is>
      </c>
    </row>
    <row r="14">
      <c r="B14" s="40" t="inlineStr">
        <is>
          <t>TP-11</t>
        </is>
      </c>
      <c r="C14" s="40" t="inlineStr">
        <is>
          <t>Constrained-random base-ISA stress</t>
        </is>
      </c>
      <c r="D14" s="40" t="inlineStr">
        <is>
          <t>riscv-dv pipeline</t>
        </is>
      </c>
      <c r="E14" s="40" t="inlineStr">
        <is>
          <t>Google riscv-dv generates rv32im programs (M-mode CSRs stripped); run and compare vs SimX</t>
        </is>
      </c>
      <c r="F14" s="40" t="inlineStr">
        <is>
          <t>random_instruction_stress_test, 9 profiles, 10-seed sweep</t>
        </is>
      </c>
      <c r="G14" s="40" t="inlineStr">
        <is>
          <t>All generated programs pass; measures robustness not new coverage</t>
        </is>
      </c>
      <c r="H14" s="40" t="inlineStr">
        <is>
          <t>90 additional distinct programs (content-hash verified), 0 failures, +0.06% toggle only</t>
        </is>
      </c>
      <c r="I14" s="40" t="inlineStr">
        <is>
          <t>Quantify whether more seeds buys coverage (it does not) — motivates simtgen</t>
        </is>
      </c>
      <c r="J14" s="40" t="inlineStr">
        <is>
          <t>kernel_launch_test</t>
        </is>
      </c>
      <c r="K14" s="40" t="inlineStr">
        <is>
          <t>single-hart race if run &gt;1 core unmodified (OBS-027, fixed: core-gated)</t>
        </is>
      </c>
      <c r="L14" s="40" t="inlineStr">
        <is>
          <t>arithmetic/CSR/interrupt corners</t>
        </is>
      </c>
      <c r="M14" s="40" t="inlineStr">
        <is>
          <t>N/A</t>
        </is>
      </c>
      <c r="N14" s="40" t="inlineStr">
        <is>
          <t>P1</t>
        </is>
      </c>
      <c r="O14" s="40" t="inlineStr">
        <is>
          <t>PASS</t>
        </is>
      </c>
      <c r="P14" s="40" t="inlineStr">
        <is>
          <t>README 'measured negative result'; OBS-046</t>
        </is>
      </c>
    </row>
    <row r="15">
      <c r="B15" s="40" t="inlineStr">
        <is>
          <t>TP-12</t>
        </is>
      </c>
      <c r="C15" s="40" t="inlineStr">
        <is>
          <t>simtgen — divergence axis</t>
        </is>
      </c>
      <c r="D15" s="40" t="inlineStr">
        <is>
          <t>SIMT-aware random stimulus</t>
        </is>
      </c>
      <c r="E15" s="40" t="inlineStr">
        <is>
          <t>Original from-scratch generator produces nested-if divergence trees up to the IPDOM stack depth bound</t>
        </is>
      </c>
      <c r="F15" s="40" t="inlineStr">
        <is>
          <t>python3 simtgen.py --axis divergence --seed N; run through kernel_launch_test</t>
        </is>
      </c>
      <c r="G15" s="40" t="inlineStr">
        <is>
          <t>cp_split_depth reaches its max bin (d[3]), which riscv-dv/native kernels alone did not</t>
        </is>
      </c>
      <c r="H15" s="40" t="inlineStr">
        <is>
          <t>d[3]: 0/50 seeds -&gt; 27 hits after volatile-accumulator fix (OBS-059)</t>
        </is>
      </c>
      <c r="I15" s="40" t="inlineStr">
        <is>
          <t>riscv-dv/Spike have no warp/mask concept; this closes that specific gap</t>
        </is>
      </c>
      <c r="J15" s="40" t="inlineStr">
        <is>
          <t>kernel_launch_test, all configs (device-derived grid)</t>
        </is>
      </c>
      <c r="K15" s="40" t="inlineStr">
        <is>
          <t>N/A (no self-check by design; SimX is the reference)</t>
        </is>
      </c>
      <c r="L15" s="40" t="inlineStr">
        <is>
          <t>LLVM-folding defeat via volatile accumulator</t>
        </is>
      </c>
      <c r="M15" s="40" t="inlineStr">
        <is>
          <t>warp_divergence_cg.cp_split_depth</t>
        </is>
      </c>
      <c r="N15" s="40" t="inlineStr">
        <is>
          <t>P1</t>
        </is>
      </c>
      <c r="O15" s="40" t="inlineStr">
        <is>
          <t>PASS</t>
        </is>
      </c>
      <c r="P15" s="40" t="inlineStr">
        <is>
          <t>docs/RTL_OBSERVATIONS.md OBS-059 + ADDENDUM; scripts/simtgen/gen_divergence.py</t>
        </is>
      </c>
    </row>
    <row r="16">
      <c r="B16" s="40" t="inlineStr">
        <is>
          <t>TP-13</t>
        </is>
      </c>
      <c r="C16" s="40" t="inlineStr">
        <is>
          <t>simtgen — memory axis</t>
        </is>
      </c>
      <c r="D16" s="40" t="inlineStr">
        <is>
          <t>Bank-hostile / coalescing stimulus</t>
        </is>
      </c>
      <c r="E16" s="40" t="inlineStr">
        <is>
          <t>Generator synthesizes coalescable / partial / scattered access patterns, plus a deliberately bank-hostile stride mode</t>
        </is>
      </c>
      <c r="F16" s="40" t="inlineStr">
        <is>
          <t>python3 simtgen.py --axis memory --seed N</t>
        </is>
      </c>
      <c r="G16" s="40" t="inlineStr">
        <is>
          <t>cp_bank_conflict and cp_coalesce_kind bins close, incl. the conflict bin that was previously 0</t>
        </is>
      </c>
      <c r="H16" s="40" t="inlineStr">
        <is>
          <t>cp_bank_conflict 0/3 -&gt; 3/3; cp_coalesce_kind -&gt; 3/3 (isolated merge, not yet banked)</t>
        </is>
      </c>
      <c r="I16" s="40" t="inlineStr">
        <is>
          <t>Provoke scratchpad bank contention on purpose, not by accident</t>
        </is>
      </c>
      <c r="J16" s="40" t="inlineStr">
        <is>
          <t>kernel_launch_test</t>
        </is>
      </c>
      <c r="K16" s="40" t="inlineStr">
        <is>
          <t>early buggy stride caused real cross-warp address collisions (caught as 6/6 genuine MEM MISMATCH before fix)</t>
        </is>
      </c>
      <c r="L16" s="40" t="inlineStr">
        <is>
          <t>bank-hostile idx=base+tid*nt</t>
        </is>
      </c>
      <c r="M16" s="40" t="inlineStr">
        <is>
          <t>lmem_bank_cg.cp_bank_conflict</t>
        </is>
      </c>
      <c r="N16" s="40" t="inlineStr">
        <is>
          <t>P1</t>
        </is>
      </c>
      <c r="O16" s="40" t="inlineStr">
        <is>
          <t>PASS</t>
        </is>
      </c>
      <c r="P16" s="40" t="inlineStr">
        <is>
          <t>scripts/simtgen/gen_memory.py; docs/GENERATOR_SCOPING_DECISION.md</t>
        </is>
      </c>
    </row>
    <row r="17">
      <c r="B17" s="40" t="inlineStr">
        <is>
          <t>TP-14</t>
        </is>
      </c>
      <c r="C17" s="40" t="inlineStr">
        <is>
          <t>POCL / OpenCL second stimulus path</t>
        </is>
      </c>
      <c r="D17" s="40" t="inlineStr">
        <is>
          <t>Independent compiler toolchain</t>
        </is>
      </c>
      <c r="E17" s="40" t="inlineStr">
        <is>
          <t>Validate a second, independent code-generation path (OpenCL-C via llvm-vortex) reaches the same DUT</t>
        </is>
      </c>
      <c r="F17" s="40" t="inlineStr">
        <is>
          <t>make all TARGET=simx; make run-simx TARGET=simx (tests/opencl/saxpy)</t>
        </is>
      </c>
      <c r="G17" s="40" t="inlineStr">
        <is>
          <t>saxpy result verified vs expected, real perf counters reported</t>
        </is>
      </c>
      <c r="H17" s="40" t="inlineStr">
        <is>
          <t>PASSED; instrs=41601, cycles=41711, IPC=0.997363 (independently re-run, identical)</t>
        </is>
      </c>
      <c r="I17" s="40" t="inlineStr">
        <is>
          <t>The environment must not be provable only through one code-generation path</t>
        </is>
      </c>
      <c r="J17" s="40" t="inlineStr">
        <is>
          <t>sim/simx baseline (vecadd_lite)</t>
        </is>
      </c>
      <c r="K17" s="40" t="inlineStr">
        <is>
          <t>N/A</t>
        </is>
      </c>
      <c r="L17" s="40" t="inlineStr">
        <is>
          <t>N/A</t>
        </is>
      </c>
      <c r="M17" s="40" t="inlineStr">
        <is>
          <t>N/A</t>
        </is>
      </c>
      <c r="N17" s="40" t="inlineStr">
        <is>
          <t>P2</t>
        </is>
      </c>
      <c r="O17" s="40" t="inlineStr">
        <is>
          <t>PASS</t>
        </is>
      </c>
      <c r="P17" s="40" t="inlineStr">
        <is>
          <t>this session; runtime/simx/libvortex-simx.so built</t>
        </is>
      </c>
    </row>
    <row r="18">
      <c r="B18" s="40" t="inlineStr">
        <is>
          <t>TP-15</t>
        </is>
      </c>
      <c r="C18" s="40" t="inlineStr">
        <is>
          <t>AXI protocol compliance</t>
        </is>
      </c>
      <c r="D18" s="40" t="inlineStr">
        <is>
          <t>AXI4 bus master behavior</t>
        </is>
      </c>
      <c r="E18" s="40" t="inlineStr">
        <is>
          <t>axi_agent (active responder) checks 30 SVA assertions + 16 cover properties on all 5 AXI channels</t>
        </is>
      </c>
      <c r="F18" s="40" t="inlineStr">
        <is>
          <t>axi_stress, axi_traffic, axi_edge kernels + throttle/flood plusargs</t>
        </is>
      </c>
      <c r="G18" s="40" t="inlineStr">
        <is>
          <t>No protocol violation; stability assertions on aw/w/ar hold under backpressure</t>
        </is>
      </c>
      <c r="H18" s="40" t="inlineStr">
        <is>
          <t>aw/w/ar stability 84.78-&gt;93% under +AXI_THROTTLE, byte-exact vs SimX</t>
        </is>
      </c>
      <c r="I18" s="40" t="inlineStr">
        <is>
          <t>Prove the DUT is a well-behaved AXI master under real backpressure</t>
        </is>
      </c>
      <c r="J18" s="40" t="inlineStr">
        <is>
          <t>cache_tier (L2/L3)</t>
        </is>
      </c>
      <c r="K18" s="40" t="inlineStr">
        <is>
          <t>AXI error-response injection (+AXI_INJECT_ERR)</t>
        </is>
      </c>
      <c r="L18" s="40" t="inlineStr">
        <is>
          <t>tag-buffer depth boundary</t>
        </is>
      </c>
      <c r="M18" s="40" t="inlineStr">
        <is>
          <t>AXI cross_type_burst_size, cp_bresp</t>
        </is>
      </c>
      <c r="N18" s="40" t="inlineStr">
        <is>
          <t>P1</t>
        </is>
      </c>
      <c r="O18" s="40" t="inlineStr">
        <is>
          <t>PASS</t>
        </is>
      </c>
      <c r="P18" s="40" t="inlineStr">
        <is>
          <t>docs/RTL_OBSERVATIONS.md; VX_axi_adapter.sv</t>
        </is>
      </c>
    </row>
    <row r="19">
      <c r="B19" s="40" t="inlineStr">
        <is>
          <t>TP-16</t>
        </is>
      </c>
      <c r="C19" s="40" t="inlineStr">
        <is>
          <t>AXI error-injection (BUS-5/W-4)</t>
        </is>
      </c>
      <c r="D19" s="40" t="inlineStr">
        <is>
          <t>Fault-tolerance / error handling</t>
        </is>
      </c>
      <c r="E19" s="40" t="inlineStr">
        <is>
          <t>Inject a real AXI error response (+AXI_INJECT_ERR) and observe DUT behavior</t>
        </is>
      </c>
      <c r="F19" s="40" t="inlineStr">
        <is>
          <t>EXTRA_PLUSARGS=+AXI_INJECT_ERR on an AXI-attached kernel</t>
        </is>
      </c>
      <c r="G19" s="40" t="inlineStr">
        <is>
          <t>Either graceful handling or a documented, evidenced limitation</t>
        </is>
      </c>
      <c r="H19" s="40" t="inlineStr">
        <is>
          <t>OBS-057: Vortex's AXI master hard-asserts every response must be OKAY -- NO tolerance for a real error response</t>
        </is>
      </c>
      <c r="I19" s="40" t="inlineStr">
        <is>
          <t>Upgrade a waiver from 'declared out of scope' to 'measured and evidenced'</t>
        </is>
      </c>
      <c r="J19" s="40" t="inlineStr">
        <is>
          <t>axi_memory_test</t>
        </is>
      </c>
      <c r="K19" s="40" t="inlineStr">
        <is>
          <t>AXI SLVERR/DECERR response</t>
        </is>
      </c>
      <c r="L19" s="40" t="inlineStr">
        <is>
          <t>N/A</t>
        </is>
      </c>
      <c r="M19" s="40" t="inlineStr">
        <is>
          <t>N/A</t>
        </is>
      </c>
      <c r="N19" s="40" t="inlineStr">
        <is>
          <t>P1</t>
        </is>
      </c>
      <c r="O19" s="40" t="inlineStr">
        <is>
          <t>PASS</t>
        </is>
      </c>
      <c r="P19" s="40" t="inlineStr">
        <is>
          <t>docs/RTL_OBSERVATIONS.md OBS-057; commit 669c09b, b16e0090</t>
        </is>
      </c>
    </row>
    <row r="20">
      <c r="B20" s="40" t="inlineStr">
        <is>
          <t>TP-17</t>
        </is>
      </c>
      <c r="C20" s="40" t="inlineStr">
        <is>
          <t>Local-memory bank-conflict coverage (G-9)</t>
        </is>
      </c>
      <c r="D20" s="40" t="inlineStr">
        <is>
          <t>Scratchpad bank contention</t>
        </is>
      </c>
      <c r="E20" s="40" t="inlineStr">
        <is>
          <t>cp_bank_conflict must be reclassified so a real conflict is observable, not gated on an unreachable condition</t>
        </is>
      </c>
      <c r="F20" s="40" t="inlineStr">
        <is>
          <t>vx_lmem_probe.sv fix (req_valid alone, not req_valid&amp;&amp;req_ready) + simtgen bank-hostile stimulus</t>
        </is>
      </c>
      <c r="G20" s="40" t="inlineStr">
        <is>
          <t>conflict bin becomes non-zero under real contention</t>
        </is>
      </c>
      <c r="H20" s="40" t="inlineStr">
        <is>
          <t>idle=70460, no_conflict=61, conflict=169 (was permanently 0)</t>
        </is>
      </c>
      <c r="I20" s="40" t="inlineStr">
        <is>
          <t>A 0%-hit bin can be the probe's fault, not the stimulus's</t>
        </is>
      </c>
      <c r="J20" s="40" t="inlineStr">
        <is>
          <t>simtgen memory axis</t>
        </is>
      </c>
      <c r="K20" s="40" t="inlineStr">
        <is>
          <t>N/A</t>
        </is>
      </c>
      <c r="L20" s="40" t="inlineStr">
        <is>
          <t>N/A</t>
        </is>
      </c>
      <c r="M20" s="40" t="inlineStr">
        <is>
          <t>lmem_bank_cg.cp_bank_conflict</t>
        </is>
      </c>
      <c r="N20" s="40" t="inlineStr">
        <is>
          <t>P1</t>
        </is>
      </c>
      <c r="O20" s="40" t="inlineStr">
        <is>
          <t>PASS</t>
        </is>
      </c>
      <c r="P20" s="40" t="inlineStr">
        <is>
          <t>docs/RTL_OBSERVATIONS.md OBS-060 + ADDENDUM</t>
        </is>
      </c>
    </row>
    <row r="21">
      <c r="B21" s="40" t="inlineStr">
        <is>
          <t>TP-18</t>
        </is>
      </c>
      <c r="C21" s="40" t="inlineStr">
        <is>
          <t>riscvISACOV extension coverage</t>
        </is>
      </c>
      <c r="D21" s="40" t="inlineStr">
        <is>
          <t>ISA functional coverage (Imperas riscvISACOV)</t>
        </is>
      </c>
      <c r="E21" s="40" t="inlineStr">
        <is>
          <t>Generate and run the machine-readable ISA covergroups (RV32I/M/F/Zicsr/Zifencei) against the DUT via RVVI-TRACE</t>
        </is>
      </c>
      <c r="F21" s="40" t="inlineStr">
        <is>
          <t>targeted single-kernel +ISACOV runs, gap-hunt per extension</t>
        </is>
      </c>
      <c r="G21" s="40" t="inlineStr">
        <is>
          <t>Real (non-degenerate) coverpoints for reachable instructions</t>
        </is>
      </c>
      <c r="H21" s="40" t="inlineStr">
        <is>
          <t>477/481 covergroups real (99.17%, 99.57% weighted); 4 bins honestly open (2 deferred jalr imm, 2 unexplained CSR rd_sign); fence.i/nop permanently 0% by construction</t>
        </is>
      </c>
      <c r="I21" s="40" t="inlineStr">
        <is>
          <t>Extend the standard ISA coverage model at its documented scalar boundary, don't replace it</t>
        </is>
      </c>
      <c r="J21" s="40" t="inlineStr">
        <is>
          <t>instr_class covergroups (SIMT layer)</t>
        </is>
      </c>
      <c r="K21" s="40" t="inlineStr">
        <is>
          <t>N/A</t>
        </is>
      </c>
      <c r="L21" s="40" t="inlineStr">
        <is>
          <t>N/A</t>
        </is>
      </c>
      <c r="M21" s="40" t="inlineStr">
        <is>
          <t>riscvISACOV per-extension bins</t>
        </is>
      </c>
      <c r="N21" s="40" t="inlineStr">
        <is>
          <t>P1</t>
        </is>
      </c>
      <c r="O21" s="40" t="inlineStr">
        <is>
          <t>PASS</t>
        </is>
      </c>
      <c r="P21" s="40" t="inlineStr">
        <is>
          <t>docs/RTL_OBSERVATIONS.md OBS-056, OBS-068, OBS-069; docs/riscvisacov/RISCVISACOV_INSTRUCTION_REFERENCE.md</t>
        </is>
      </c>
    </row>
    <row r="22">
      <c r="B22" s="40" t="inlineStr">
        <is>
          <t>TP-19</t>
        </is>
      </c>
      <c r="C22" s="40" t="inlineStr">
        <is>
          <t>Operand-sign / IEEE-754 class coverage (G-6)</t>
        </is>
      </c>
      <c r="D22" s="40" t="inlineStr">
        <is>
          <t>ALU/LSU/FPU dispatch sign coverage</t>
        </is>
      </c>
      <c r="E22" s="40" t="inlineStr">
        <is>
          <t>cp_imm_sign and real IEEE-754 cp_fp_class coverage across dispatch, not a placeholder covergroup</t>
        </is>
      </c>
      <c r="F22" s="40" t="inlineStr">
        <is>
          <t>div_edge, sfu_masks, fpu_mt kernels</t>
        </is>
      </c>
      <c r="G22" s="40" t="inlineStr">
        <is>
          <t>Sign/class combinations all sampled with real values, not a stub</t>
        </is>
      </c>
      <c r="H22" s="40" t="inlineStr">
        <is>
          <t>G-6 fully closed 2026-09-06</t>
        </is>
      </c>
      <c r="I22" s="40" t="inlineStr">
        <is>
          <t>A coverage bin that always samples one constant value is not real coverage</t>
        </is>
      </c>
      <c r="J22" s="40" t="inlineStr">
        <is>
          <t>instr_class_cg (ALU/LSU/FPU)</t>
        </is>
      </c>
      <c r="K22" s="40" t="inlineStr">
        <is>
          <t>N/A</t>
        </is>
      </c>
      <c r="L22" s="40" t="inlineStr">
        <is>
          <t>signed/unsigned div corners</t>
        </is>
      </c>
      <c r="M22" s="40" t="inlineStr">
        <is>
          <t>N/A</t>
        </is>
      </c>
      <c r="N22" s="40" t="inlineStr">
        <is>
          <t>P1</t>
        </is>
      </c>
      <c r="O22" s="40" t="inlineStr">
        <is>
          <t>PASS</t>
        </is>
      </c>
      <c r="P22" s="40" t="inlineStr">
        <is>
          <t>commit 5745a70 'G-6 fully closed'</t>
        </is>
      </c>
    </row>
    <row r="23">
      <c r="B23" s="40" t="inlineStr">
        <is>
          <t>TP-20</t>
        </is>
      </c>
      <c r="C23" s="40" t="inlineStr">
        <is>
          <t>Div corners + commit-beat splitting (G-3/G-7)</t>
        </is>
      </c>
      <c r="D23" s="40" t="inlineStr">
        <is>
          <t>Divider edge cases; multi-beat commit</t>
        </is>
      </c>
      <c r="E23" s="40" t="inlineStr">
        <is>
          <t>Directed corner-case stimulus for integer division (0, -1, INT_MIN/-1) and commit-beat splitting across ISSUE_WIDTH</t>
        </is>
      </c>
      <c r="F23" s="40" t="inlineStr">
        <is>
          <t>div_edge kernel; multi-issue commit stress</t>
        </is>
      </c>
      <c r="G23" s="40" t="inlineStr">
        <is>
          <t>Corner values retire correctly and are distinctly covered</t>
        </is>
      </c>
      <c r="H23" s="40" t="inlineStr">
        <is>
          <t>closed 2026-09-06, commit 7a43fce</t>
        </is>
      </c>
      <c r="I23" s="40" t="inlineStr">
        <is>
          <t>Division-by-zero / overflow corners are exactly where hardware divider bugs hide</t>
        </is>
      </c>
      <c r="J23" s="40" t="inlineStr">
        <is>
          <t>instr_class_cg (ALU div)</t>
        </is>
      </c>
      <c r="K23" s="40" t="inlineStr">
        <is>
          <t>div-by-zero, INT_MIN/-1</t>
        </is>
      </c>
      <c r="L23" s="40" t="inlineStr">
        <is>
          <t>div corner values</t>
        </is>
      </c>
      <c r="M23" s="40" t="inlineStr">
        <is>
          <t>N/A</t>
        </is>
      </c>
      <c r="N23" s="40" t="inlineStr">
        <is>
          <t>P1</t>
        </is>
      </c>
      <c r="O23" s="40" t="inlineStr">
        <is>
          <t>PASS</t>
        </is>
      </c>
      <c r="P23" s="40" t="inlineStr">
        <is>
          <t>commit 1fa71a2a6, 7a43fce</t>
        </is>
      </c>
    </row>
    <row r="24">
      <c r="B24" s="40" t="inlineStr">
        <is>
          <t>TP-21</t>
        </is>
      </c>
      <c r="C24" s="40" t="inlineStr">
        <is>
          <t>Register-hazard coverage, WAR unreachable (G-4)</t>
        </is>
      </c>
      <c r="D24" s="40" t="inlineStr">
        <is>
          <t>RAW/WAW/WAR hazard classification</t>
        </is>
      </c>
      <c r="E24" s="40" t="inlineStr">
        <is>
          <t>VX_scoreboard hazard detector can only ever produce RAW/WAW by construction; WAR is structurally unreachable, not a stimulus gap</t>
        </is>
      </c>
      <c r="F24" s="40" t="inlineStr">
        <is>
          <t>directed hazard-stress kernels</t>
        </is>
      </c>
      <c r="G24" s="40" t="inlineStr">
        <is>
          <t>RAW/WAW sampled with real values; WAR correctly waived, not silently ignored</t>
        </is>
      </c>
      <c r="H24" s="40" t="inlineStr">
        <is>
          <t>closed 2026-09-04; OBS-055 documents why WAR is structurally unreachable</t>
        </is>
      </c>
      <c r="I24" s="40" t="inlineStr">
        <is>
          <t>Distinguish 'unreachable by design' from 'untested' before waiving anything</t>
        </is>
      </c>
      <c r="J24" s="40" t="inlineStr">
        <is>
          <t>instr_class_cg</t>
        </is>
      </c>
      <c r="K24" s="40" t="inlineStr">
        <is>
          <t>N/A</t>
        </is>
      </c>
      <c r="L24" s="40" t="inlineStr">
        <is>
          <t>N/A</t>
        </is>
      </c>
      <c r="M24" s="40" t="inlineStr">
        <is>
          <t>hazard_cg RAW/WAW</t>
        </is>
      </c>
      <c r="N24" s="40" t="inlineStr">
        <is>
          <t>P1</t>
        </is>
      </c>
      <c r="O24" s="40" t="inlineStr">
        <is>
          <t>PASS</t>
        </is>
      </c>
      <c r="P24" s="40" t="inlineStr">
        <is>
          <t>commit 6faa6e2; OBS-055</t>
        </is>
      </c>
    </row>
    <row r="25">
      <c r="B25" s="40" t="inlineStr">
        <is>
          <t>TP-22</t>
        </is>
      </c>
      <c r="C25" s="40" t="inlineStr">
        <is>
          <t>Config matrix run (D-matrix)</t>
        </is>
      </c>
      <c r="D25" s="40" t="inlineStr">
        <is>
          <t>Cross-topology regression</t>
        </is>
      </c>
      <c r="E25" s="40" t="inlineStr">
        <is>
          <t>Run the full suite across 1C/1W, 1C/4W, 2C/4W, 2CL/2C/4W and bank each before the next config overwrites cov/merged.ucdb</t>
        </is>
      </c>
      <c r="F25" s="40" t="inlineStr">
        <is>
          <t>bash scripts/run_suite.sh at each topology; copy bank before next run</t>
        </is>
      </c>
      <c r="G25" s="40" t="inlineStr">
        <is>
          <t>Per-config bank verified by re-reading the copy; never blend UCDBs across configs</t>
        </is>
      </c>
      <c r="H25" s="40" t="inlineStr">
        <is>
          <t>1CL banked clean 51/51 = 94.72% (2026-08-18/20); 2CL 50/50 = 94.55%; 2CL+L2+L3 51/51 = 93.18%</t>
        </is>
      </c>
      <c r="I25" s="40" t="inlineStr">
        <is>
          <t>A cross-config UCDB merge is invalid (per-instance width/count changes)</t>
        </is>
      </c>
      <c r="J25" s="40" t="inlineStr">
        <is>
          <t>SIGN (aggregates all banks)</t>
        </is>
      </c>
      <c r="K25" s="40" t="inlineStr">
        <is>
          <t>N/A</t>
        </is>
      </c>
      <c r="L25" s="40" t="inlineStr">
        <is>
          <t>N/A</t>
        </is>
      </c>
      <c r="M25" s="40" t="inlineStr">
        <is>
          <t>N/A</t>
        </is>
      </c>
      <c r="N25" s="40" t="inlineStr">
        <is>
          <t>P0</t>
        </is>
      </c>
      <c r="O25" s="40" t="inlineStr">
        <is>
          <t>WIP</t>
        </is>
      </c>
      <c r="P25" s="40" t="inlineStr">
        <is>
          <t>CLAUDE.md Tier-3 D-matrix -- PARTIAL: simtgen-closed bins not yet folded into these banks (isolated merge only)</t>
        </is>
      </c>
    </row>
    <row r="26">
      <c r="B26" s="40" t="inlineStr">
        <is>
          <t>TP-23</t>
        </is>
      </c>
      <c r="C26" s="40" t="inlineStr">
        <is>
          <t>Merged sign-off report (SIGN)</t>
        </is>
      </c>
      <c r="D26" s="40" t="inlineStr">
        <is>
          <t>Final regression closure</t>
        </is>
      </c>
      <c r="E26" s="40" t="inlineStr">
        <is>
          <t>One report: seeded regression pass rate, merged functional+code coverage vs goal, matrix status</t>
        </is>
      </c>
      <c r="F26" s="40" t="inlineStr">
        <is>
          <t>aggregate all banked configs + findings register</t>
        </is>
      </c>
      <c r="G26" s="40" t="inlineStr">
        <is>
          <t>Single, defensible closing statement of verified scope and open items</t>
        </is>
      </c>
      <c r="H26" s="40" t="inlineStr">
        <is>
          <t>not yet produced</t>
        </is>
      </c>
      <c r="I26" s="40" t="inlineStr">
        <is>
          <t>Closes last, and only once every upstream box is genuinely closed</t>
        </is>
      </c>
      <c r="J26" s="40" t="inlineStr">
        <is>
          <t>D-matrix</t>
        </is>
      </c>
      <c r="K26" s="40" t="inlineStr">
        <is>
          <t>N/A</t>
        </is>
      </c>
      <c r="L26" s="40" t="inlineStr">
        <is>
          <t>N/A</t>
        </is>
      </c>
      <c r="M26" s="40" t="inlineStr">
        <is>
          <t>N/A</t>
        </is>
      </c>
      <c r="N26" s="40" t="inlineStr">
        <is>
          <t>P0</t>
        </is>
      </c>
      <c r="O26" s="40" t="inlineStr">
        <is>
          <t>BLOCK</t>
        </is>
      </c>
      <c r="P26" s="40" t="inlineStr">
        <is>
          <t>Blocked on: D-matrix full closure + a full-suite re-run folding simtgen's 3 closed bins into the banked totals</t>
        </is>
      </c>
    </row>
    <row r="27">
      <c r="B27" s="40" t="inlineStr">
        <is>
          <t>TP-24</t>
        </is>
      </c>
      <c r="C27" s="40" t="inlineStr">
        <is>
          <t>Exception/interrupt stimulus (T-exc)</t>
        </is>
      </c>
      <c r="D27" s="40" t="inlineStr">
        <is>
          <t>Trap/exception coverage</t>
        </is>
      </c>
      <c r="E27" s="40" t="inlineStr">
        <is>
          <t>Directed ebreak / misaligned / illegal-instruction stimulus to drive exception_cg -- note: Vortex terminates via tmc x0 -&gt; busy deassertion, NOT ebreak (OBS-024)</t>
        </is>
      </c>
      <c r="F27" s="40" t="inlineStr">
        <is>
          <t>not yet built</t>
        </is>
      </c>
      <c r="G27" s="40" t="inlineStr">
        <is>
          <t>stimulus reaches DUT; exception bins populate</t>
        </is>
      </c>
      <c r="H27" s="40" t="inlineStr">
        <is>
          <t>not yet started</t>
        </is>
      </c>
      <c r="I27" s="40" t="inlineStr">
        <is>
          <t>Vortex has no trap architecture in the conventional sense -- two riscv-dv profiles are unimplementable for this reason</t>
        </is>
      </c>
      <c r="J27" s="40" t="inlineStr">
        <is>
          <t>kernel_launch_test</t>
        </is>
      </c>
      <c r="K27" s="40" t="inlineStr">
        <is>
          <t>misaligned access (OBS-013, sim-only assertion is the only guard today)</t>
        </is>
      </c>
      <c r="L27" s="40" t="inlineStr">
        <is>
          <t>misaligned addr corner</t>
        </is>
      </c>
      <c r="M27" s="40" t="inlineStr">
        <is>
          <t>exception_cg</t>
        </is>
      </c>
      <c r="N27" s="40" t="inlineStr">
        <is>
          <t>P2</t>
        </is>
      </c>
      <c r="O27" s="40" t="inlineStr">
        <is>
          <t>WIP</t>
        </is>
      </c>
      <c r="P27" s="40" t="inlineStr">
        <is>
          <t>CLAUDE.md Tier-2 T-exc; must be designed around OBS-024, not the old ebreak assumption</t>
        </is>
      </c>
    </row>
    <row r="28">
      <c r="B28" s="40" t="inlineStr">
        <is>
          <t>TP-25</t>
        </is>
      </c>
      <c r="C28" s="40" t="inlineStr">
        <is>
          <t>Cache coherence directed test (T-cache)</t>
        </is>
      </c>
      <c r="D28" s="40" t="inlineStr">
        <is>
          <t>Multi-core/multi-access cache behavior</t>
        </is>
      </c>
      <c r="E28" s="40" t="inlineStr">
        <is>
          <t>Directed multi-core cache access + eviction scenarios, end-state compare vs SimX, feeds cache coverage</t>
        </is>
      </c>
      <c r="F28" s="40" t="inlineStr">
        <is>
          <t>not yet built</t>
        </is>
      </c>
      <c r="G28" s="40" t="inlineStr">
        <is>
          <t>passes bidirectional vs SimX</t>
        </is>
      </c>
      <c r="H28" s="40" t="inlineStr">
        <is>
          <t>not yet started</t>
        </is>
      </c>
      <c r="I28" s="40" t="inlineStr">
        <is>
          <t>Weakly-coherent (flush-only) memory model -- a fenceless cross-core kernel has no architecturally-defined result and must not be mistaken for a bug</t>
        </is>
      </c>
      <c r="J28" s="40" t="inlineStr">
        <is>
          <t>cache_tier, L2/L3 sweep</t>
        </is>
      </c>
      <c r="K28" s="40" t="inlineStr">
        <is>
          <t>fenceless cross-cluster race (OBS-009, expected/not-a-bug)</t>
        </is>
      </c>
      <c r="L28" s="40" t="inlineStr">
        <is>
          <t>N/A</t>
        </is>
      </c>
      <c r="M28" s="40" t="inlineStr">
        <is>
          <t>cache_event_cg per instance</t>
        </is>
      </c>
      <c r="N28" s="40" t="inlineStr">
        <is>
          <t>P2</t>
        </is>
      </c>
      <c r="O28" s="40" t="inlineStr">
        <is>
          <t>WIP</t>
        </is>
      </c>
      <c r="P28" s="40" t="inlineStr">
        <is>
          <t>CLAUDE.md Tier-2 T-cache</t>
        </is>
      </c>
    </row>
  </sheetData>
  <mergeCells count="1">
    <mergeCell ref="B2:Q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B2:M24"/>
  <sheetViews>
    <sheetView showGridLines="0" zoomScaleNormal="100" workbookViewId="0">
      <selection activeCell="J5" sqref="J5"/>
    </sheetView>
  </sheetViews>
  <sheetFormatPr baseColWidth="8" defaultColWidth="8.6640625" defaultRowHeight="14.4"/>
  <cols>
    <col width="3" customWidth="1" min="1" max="1"/>
    <col width="10" customWidth="1" min="2" max="2"/>
    <col width="20" customWidth="1" min="3" max="3"/>
    <col width="30" customWidth="1" min="4" max="4"/>
    <col width="18" customWidth="1" min="5" max="5"/>
    <col width="22" customWidth="1" min="6" max="6"/>
    <col width="18" customWidth="1" min="7" max="7"/>
    <col width="16" customWidth="1" min="8" max="8"/>
    <col width="24" customWidth="1" min="9" max="9"/>
    <col width="10" customWidth="1" min="10" max="10"/>
    <col width="16" customWidth="1" min="11" max="11"/>
    <col width="12" customWidth="1" min="12" max="12"/>
    <col width="22" customWidth="1" min="13" max="13"/>
  </cols>
  <sheetData>
    <row r="1" ht="7.5" customHeight="1"/>
    <row r="2" ht="30" customHeight="1">
      <c r="B2" s="7" t="inlineStr">
        <is>
          <t>Traceability Matrix — Spec ↔ Requirements ↔ Test Cases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</row>
    <row r="3" ht="21.75" customHeight="1">
      <c r="B3" s="6" t="inlineStr">
        <is>
          <t>Requirement Coverage Closure:  Verified = COUNTIF(L5:L50,"PASS")  /  Total Reqs</t>
        </is>
      </c>
      <c r="C3" s="37" t="n"/>
      <c r="D3" s="37" t="n"/>
      <c r="E3" s="37" t="n"/>
      <c r="F3" s="37" t="n"/>
      <c r="G3" s="37" t="n"/>
      <c r="H3" s="37" t="n"/>
      <c r="I3" s="37" t="n"/>
      <c r="J3" s="27">
        <f>COUNTA(B5:B50)</f>
        <v/>
      </c>
      <c r="K3" s="27">
        <f>COUNTIF(L5:L50,"PASS")</f>
        <v/>
      </c>
      <c r="L3" s="28">
        <f>IFERROR(K3/J3,0)</f>
        <v/>
      </c>
    </row>
    <row r="4" ht="37.5" customHeight="1">
      <c r="B4" s="26" t="inlineStr">
        <is>
          <t>Req ID</t>
        </is>
      </c>
      <c r="C4" s="26" t="inlineStr">
        <is>
          <t>Spec Section
&amp; Reference</t>
        </is>
      </c>
      <c r="D4" s="26" t="inlineStr">
        <is>
          <t>Requirement
Description</t>
        </is>
      </c>
      <c r="E4" s="26" t="inlineStr">
        <is>
          <t>Feature</t>
        </is>
      </c>
      <c r="F4" s="26" t="inlineStr">
        <is>
          <t>Mapped
Test Cases</t>
        </is>
      </c>
      <c r="G4" s="26" t="inlineStr">
        <is>
          <t>Verification
Method</t>
        </is>
      </c>
      <c r="H4" s="26" t="inlineStr">
        <is>
          <t>Coverage
Type</t>
        </is>
      </c>
      <c r="I4" s="26" t="inlineStr">
        <is>
          <t>Pass
Criteria</t>
        </is>
      </c>
      <c r="J4" s="26" t="inlineStr">
        <is>
          <t>Priority</t>
        </is>
      </c>
      <c r="K4" s="26" t="inlineStr">
        <is>
          <t>Verified By</t>
        </is>
      </c>
      <c r="L4" s="26" t="inlineStr">
        <is>
          <t>Status</t>
        </is>
      </c>
      <c r="M4" s="26" t="inlineStr">
        <is>
          <t>Closure
Notes</t>
        </is>
      </c>
    </row>
    <row r="5" ht="36" customHeight="1">
      <c r="B5" s="39" t="inlineStr">
        <is>
          <t>R-001</t>
        </is>
      </c>
      <c r="C5" s="39" t="inlineStr">
        <is>
          <t>CLAUDE.md Gate-0 C1</t>
        </is>
      </c>
      <c r="D5" s="39" t="inlineStr">
        <is>
          <t>UVM tag/ID width must equal the elaborated RTL VX_MEM_TAG_WIDTH</t>
        </is>
      </c>
      <c r="E5" s="39" t="inlineStr">
        <is>
          <t>AXI/mem tag width</t>
        </is>
      </c>
      <c r="F5" s="39" t="inlineStr">
        <is>
          <t>TP-01</t>
        </is>
      </c>
      <c r="G5" s="39" t="inlineStr">
        <is>
          <t>Simulation + elaboration assert</t>
        </is>
      </c>
      <c r="H5" s="39" t="inlineStr">
        <is>
          <t>Directed</t>
        </is>
      </c>
      <c r="I5" s="39" t="inlineStr">
        <is>
          <t>0 fatals; correct width reported</t>
        </is>
      </c>
      <c r="J5" s="39" t="inlineStr">
        <is>
          <t>P0</t>
        </is>
      </c>
      <c r="K5" s="39" t="inlineStr">
        <is>
          <t>Samuel Moussa</t>
        </is>
      </c>
      <c r="L5" s="39" t="inlineStr">
        <is>
          <t>PASS</t>
        </is>
      </c>
      <c r="M5" s="39" t="inlineStr">
        <is>
          <t>commit 4c36bd82</t>
        </is>
      </c>
    </row>
    <row r="6" ht="36" customHeight="1">
      <c r="B6" s="38" t="inlineStr">
        <is>
          <t>R-002</t>
        </is>
      </c>
      <c r="C6" s="38" t="inlineStr">
        <is>
          <t>CLAUDE.md Gate-0 C3</t>
        </is>
      </c>
      <c r="D6" s="38" t="inlineStr">
        <is>
          <t>Completion trigger must be the real decoded EBREAK across all cores</t>
        </is>
      </c>
      <c r="E6" s="38" t="inlineStr">
        <is>
          <t>Kernel completion</t>
        </is>
      </c>
      <c r="F6" s="38" t="inlineStr">
        <is>
          <t>TP-02</t>
        </is>
      </c>
      <c r="G6" s="38" t="inlineStr">
        <is>
          <t>Simulation</t>
        </is>
      </c>
      <c r="H6" s="38" t="inlineStr">
        <is>
          <t>Directed</t>
        </is>
      </c>
      <c r="I6" s="38" t="inlineStr">
        <is>
          <t>EBREAK-driven completion, fallback is warning-only</t>
        </is>
      </c>
      <c r="J6" s="38" t="inlineStr">
        <is>
          <t>P0</t>
        </is>
      </c>
      <c r="K6" s="38" t="inlineStr">
        <is>
          <t>Samuel Moussa</t>
        </is>
      </c>
      <c r="L6" s="38" t="inlineStr">
        <is>
          <t>PASS</t>
        </is>
      </c>
      <c r="M6" s="38" t="inlineStr">
        <is>
          <t>commits 7764ba14, 11f71359</t>
        </is>
      </c>
    </row>
    <row r="7" ht="36" customHeight="1">
      <c r="B7" s="39" t="inlineStr">
        <is>
          <t>R-003</t>
        </is>
      </c>
      <c r="C7" s="39" t="inlineStr">
        <is>
          <t>CLAUDE.md Gate-0 C2</t>
        </is>
      </c>
      <c r="D7" s="39" t="inlineStr">
        <is>
          <t>Instruction count/IPC must derive from the real commit_arb_if handshake</t>
        </is>
      </c>
      <c r="E7" s="39" t="inlineStr">
        <is>
          <t>Instr count / IPC</t>
        </is>
      </c>
      <c r="F7" s="39" t="inlineStr">
        <is>
          <t>TP-03</t>
        </is>
      </c>
      <c r="G7" s="39" t="inlineStr">
        <is>
          <t>Simulation</t>
        </is>
      </c>
      <c r="H7" s="39" t="inlineStr">
        <is>
          <t>Directed</t>
        </is>
      </c>
      <c r="I7" s="39" t="inlineStr">
        <is>
          <t>non-fabricated IPC value</t>
        </is>
      </c>
      <c r="J7" s="39" t="inlineStr">
        <is>
          <t>P0</t>
        </is>
      </c>
      <c r="K7" s="39" t="inlineStr">
        <is>
          <t>Samuel Moussa</t>
        </is>
      </c>
      <c r="L7" s="39" t="inlineStr">
        <is>
          <t>PASS</t>
        </is>
      </c>
      <c r="M7" s="39" t="inlineStr">
        <is>
          <t>commits 22115864, 11f71359</t>
        </is>
      </c>
    </row>
    <row r="8" ht="36" customHeight="1">
      <c r="B8" s="38" t="inlineStr">
        <is>
          <t>R-004</t>
        </is>
      </c>
      <c r="C8" s="38" t="inlineStr">
        <is>
          <t>CLAUDE.md Gate-0 T4</t>
        </is>
      </c>
      <c r="D8" s="38" t="inlineStr">
        <is>
          <t>Verdict gate must use the true UVM_ERROR count, no subtraction</t>
        </is>
      </c>
      <c r="E8" s="38" t="inlineStr">
        <is>
          <t>Pass/fail verdict</t>
        </is>
      </c>
      <c r="F8" s="38" t="inlineStr">
        <is>
          <t>TP-04</t>
        </is>
      </c>
      <c r="G8" s="38" t="inlineStr">
        <is>
          <t>Simulation, fault injection</t>
        </is>
      </c>
      <c r="H8" s="38" t="inlineStr">
        <is>
          <t>Negative</t>
        </is>
      </c>
      <c r="I8" s="38" t="inlineStr">
        <is>
          <t>injected fault reported as FAIL</t>
        </is>
      </c>
      <c r="J8" s="38" t="inlineStr">
        <is>
          <t>P0</t>
        </is>
      </c>
      <c r="K8" s="38" t="inlineStr">
        <is>
          <t>Samuel Moussa</t>
        </is>
      </c>
      <c r="L8" s="38" t="inlineStr">
        <is>
          <t>PASS</t>
        </is>
      </c>
      <c r="M8" s="38" t="inlineStr">
        <is>
          <t>commit e087a78f</t>
        </is>
      </c>
    </row>
    <row r="9" ht="36" customHeight="1">
      <c r="B9" s="39" t="inlineStr">
        <is>
          <t>R-005</t>
        </is>
      </c>
      <c r="C9" s="39" t="inlineStr">
        <is>
          <t>CLAUDE.md Gate-0 sign-off</t>
        </is>
      </c>
      <c r="D9" s="39" t="inlineStr">
        <is>
          <t>Both wrong-value and dropped-store fault classes must be provably catchable (bidirectional scoreboard)</t>
        </is>
      </c>
      <c r="E9" s="39" t="inlineStr">
        <is>
          <t>End-state scoreboard</t>
        </is>
      </c>
      <c r="F9" s="39" t="inlineStr">
        <is>
          <t>TP-05</t>
        </is>
      </c>
      <c r="G9" s="39" t="inlineStr">
        <is>
          <t>Simulation, fault injection</t>
        </is>
      </c>
      <c r="H9" s="39" t="inlineStr">
        <is>
          <t>Negative</t>
        </is>
      </c>
      <c r="I9" s="39" t="inlineStr">
        <is>
          <t>4/4 injection guards red</t>
        </is>
      </c>
      <c r="J9" s="39" t="inlineStr">
        <is>
          <t>P0</t>
        </is>
      </c>
      <c r="K9" s="39" t="inlineStr">
        <is>
          <t>Samuel Moussa</t>
        </is>
      </c>
      <c r="L9" s="39" t="inlineStr">
        <is>
          <t>PASS</t>
        </is>
      </c>
      <c r="M9" s="39" t="inlineStr">
        <is>
          <t>SB-DIR fe10b83; closed 2026-08-11</t>
        </is>
      </c>
    </row>
    <row r="10" ht="36" customHeight="1">
      <c r="B10" s="38" t="inlineStr">
        <is>
          <t>R-006</t>
        </is>
      </c>
      <c r="C10" s="38" t="inlineStr">
        <is>
          <t>CLAUDE.md Tier-1 I1/I2/I3/I5/P1-bind</t>
        </is>
      </c>
      <c r="D10" s="38" t="inlineStr">
        <is>
          <t>Probes/asserts/golden model must generalize over the full config space, not one topology</t>
        </is>
      </c>
      <c r="E10" s="38" t="inlineStr">
        <is>
          <t>Configurability</t>
        </is>
      </c>
      <c r="F10" s="38" t="inlineStr">
        <is>
          <t>TP-06,TP-07,TP-08,TP-09</t>
        </is>
      </c>
      <c r="G10" s="38" t="inlineStr">
        <is>
          <t>Simulation, elaboration</t>
        </is>
      </c>
      <c r="H10" s="38" t="inlineStr">
        <is>
          <t>Directed</t>
        </is>
      </c>
      <c r="I10" s="38" t="inlineStr">
        <is>
          <t>topology mismatch aborts loudly; correct at every tested config</t>
        </is>
      </c>
      <c r="J10" s="38" t="inlineStr">
        <is>
          <t>P1</t>
        </is>
      </c>
      <c r="K10" s="38" t="inlineStr">
        <is>
          <t>Samuel Moussa</t>
        </is>
      </c>
      <c r="L10" s="38" t="inlineStr">
        <is>
          <t>PASS</t>
        </is>
      </c>
      <c r="M10" s="38" t="inlineStr">
        <is>
          <t>commits 11f71359, 37cfce55; simx_config.stamp verified 2026-08-12</t>
        </is>
      </c>
    </row>
    <row r="11" ht="36" customHeight="1">
      <c r="B11" s="39" t="inlineStr">
        <is>
          <t>R-007</t>
        </is>
      </c>
      <c r="C11" s="39" t="inlineStr">
        <is>
          <t>CLAUDE.md Tier-3 D-matrix</t>
        </is>
      </c>
      <c r="D11" s="39" t="inlineStr">
        <is>
          <t>Full config matrix (1C/1W .. 2CL/2C/4W) must be run and banked, never blended</t>
        </is>
      </c>
      <c r="E11" s="39" t="inlineStr">
        <is>
          <t>Cross-topology regression</t>
        </is>
      </c>
      <c r="F11" s="39" t="inlineStr">
        <is>
          <t>TP-22</t>
        </is>
      </c>
      <c r="G11" s="39" t="inlineStr">
        <is>
          <t>Simulation, regression</t>
        </is>
      </c>
      <c r="H11" s="39" t="inlineStr">
        <is>
          <t>Functional+code</t>
        </is>
      </c>
      <c r="I11" s="39" t="inlineStr">
        <is>
          <t>per-config bank re-read and verified</t>
        </is>
      </c>
      <c r="J11" s="39" t="inlineStr">
        <is>
          <t>P0</t>
        </is>
      </c>
      <c r="K11" s="39" t="inlineStr">
        <is>
          <t>Samuel Moussa</t>
        </is>
      </c>
      <c r="L11" s="39" t="inlineStr">
        <is>
          <t>WIP</t>
        </is>
      </c>
      <c r="M11" s="39" t="inlineStr">
        <is>
          <t>1CL/2CL/2CL+L2L3 banked; simtgen-closed bins not yet folded in</t>
        </is>
      </c>
    </row>
    <row r="12" ht="36" customHeight="1">
      <c r="B12" s="38" t="inlineStr">
        <is>
          <t>R-008</t>
        </is>
      </c>
      <c r="C12" s="38" t="inlineStr">
        <is>
          <t>CLAUDE.md Tier-3 SIGN</t>
        </is>
      </c>
      <c r="D12" s="38" t="inlineStr">
        <is>
          <t>One merged sign-off report over all banks + findings</t>
        </is>
      </c>
      <c r="E12" s="38" t="inlineStr">
        <is>
          <t>Final closure</t>
        </is>
      </c>
      <c r="F12" s="38" t="inlineStr">
        <is>
          <t>TP-23</t>
        </is>
      </c>
      <c r="G12" s="38" t="inlineStr">
        <is>
          <t>Review</t>
        </is>
      </c>
      <c r="H12" s="38" t="inlineStr">
        <is>
          <t>N/A</t>
        </is>
      </c>
      <c r="I12" s="38" t="inlineStr">
        <is>
          <t>single defensible closing statement</t>
        </is>
      </c>
      <c r="J12" s="38" t="inlineStr">
        <is>
          <t>P0</t>
        </is>
      </c>
      <c r="K12" s="38" t="inlineStr">
        <is>
          <t>Samuel Moussa</t>
        </is>
      </c>
      <c r="L12" s="38" t="inlineStr">
        <is>
          <t>BLOCK</t>
        </is>
      </c>
      <c r="M12" s="38" t="inlineStr">
        <is>
          <t>blocked on R-007 + a full-suite re-run</t>
        </is>
      </c>
    </row>
    <row r="13" ht="36" customHeight="1">
      <c r="B13" s="39" t="inlineStr">
        <is>
          <t>R-009</t>
        </is>
      </c>
      <c r="C13" s="39" t="inlineStr">
        <is>
          <t>VERIFICATION_PLAN_v2 G-9 / OBS-060</t>
        </is>
      </c>
      <c r="D13" s="39" t="inlineStr">
        <is>
          <t>cp_bank_conflict must be classified on a reachable RTL condition (req_valid), not req_valid&amp;&amp;req_ready</t>
        </is>
      </c>
      <c r="E13" s="39" t="inlineStr">
        <is>
          <t>Scratchpad bank contention</t>
        </is>
      </c>
      <c r="F13" s="39" t="inlineStr">
        <is>
          <t>TP-17</t>
        </is>
      </c>
      <c r="G13" s="39" t="inlineStr">
        <is>
          <t>Simulation</t>
        </is>
      </c>
      <c r="H13" s="39" t="inlineStr">
        <is>
          <t>Functional</t>
        </is>
      </c>
      <c r="I13" s="39" t="inlineStr">
        <is>
          <t>conflict bin non-zero under contention</t>
        </is>
      </c>
      <c r="J13" s="39" t="inlineStr">
        <is>
          <t>P1</t>
        </is>
      </c>
      <c r="K13" s="39" t="inlineStr">
        <is>
          <t>Samuel Moussa</t>
        </is>
      </c>
      <c r="L13" s="39" t="inlineStr">
        <is>
          <t>PASS</t>
        </is>
      </c>
      <c r="M13" s="39" t="inlineStr">
        <is>
          <t>idle=70460,no_conflict=61,conflict=169; commit ccbdc7e06</t>
        </is>
      </c>
    </row>
    <row r="14">
      <c r="B14" s="40" t="inlineStr">
        <is>
          <t>R-010</t>
        </is>
      </c>
      <c r="C14" s="40" t="inlineStr">
        <is>
          <t>VERIFICATION_PLAN_v2 G-6</t>
        </is>
      </c>
      <c r="D14" s="40" t="inlineStr">
        <is>
          <t>Real IEEE-754 class + operand-sign coverage across ALU/LSU/FPU dispatch</t>
        </is>
      </c>
      <c r="E14" s="40" t="inlineStr">
        <is>
          <t>ALU/LSU/FPU sign/class coverage</t>
        </is>
      </c>
      <c r="F14" s="40" t="inlineStr">
        <is>
          <t>TP-19</t>
        </is>
      </c>
      <c r="G14" s="40" t="inlineStr">
        <is>
          <t>Simulation</t>
        </is>
      </c>
      <c r="H14" s="40" t="inlineStr">
        <is>
          <t>Functional</t>
        </is>
      </c>
      <c r="I14" s="40" t="inlineStr">
        <is>
          <t>non-degenerate sign/class bins</t>
        </is>
      </c>
      <c r="J14" s="40" t="inlineStr">
        <is>
          <t>P1</t>
        </is>
      </c>
      <c r="K14" s="40" t="inlineStr">
        <is>
          <t>Samuel Moussa</t>
        </is>
      </c>
      <c r="L14" s="40" t="inlineStr">
        <is>
          <t>PASS</t>
        </is>
      </c>
      <c r="M14" s="40" t="inlineStr">
        <is>
          <t>commit 5745a70</t>
        </is>
      </c>
    </row>
    <row r="15">
      <c r="B15" s="40" t="inlineStr">
        <is>
          <t>R-011</t>
        </is>
      </c>
      <c r="C15" s="40" t="inlineStr">
        <is>
          <t>VERIFICATION_PLAN_v2 G-3/G-7</t>
        </is>
      </c>
      <c r="D15" s="40" t="inlineStr">
        <is>
          <t>Division corner values + multi-beat commit splitting covered</t>
        </is>
      </c>
      <c r="E15" s="40" t="inlineStr">
        <is>
          <t>Divider corners; commit beats</t>
        </is>
      </c>
      <c r="F15" s="40" t="inlineStr">
        <is>
          <t>TP-20</t>
        </is>
      </c>
      <c r="G15" s="40" t="inlineStr">
        <is>
          <t>Simulation</t>
        </is>
      </c>
      <c r="H15" s="40" t="inlineStr">
        <is>
          <t>Functional</t>
        </is>
      </c>
      <c r="I15" s="40" t="inlineStr">
        <is>
          <t>corner values retire and are distinctly covered</t>
        </is>
      </c>
      <c r="J15" s="40" t="inlineStr">
        <is>
          <t>P1</t>
        </is>
      </c>
      <c r="K15" s="40" t="inlineStr">
        <is>
          <t>Samuel Moussa</t>
        </is>
      </c>
      <c r="L15" s="40" t="inlineStr">
        <is>
          <t>PASS</t>
        </is>
      </c>
      <c r="M15" s="40" t="inlineStr">
        <is>
          <t>commit 1fa71a2a6, 7a43fce</t>
        </is>
      </c>
    </row>
    <row r="16">
      <c r="B16" s="40" t="inlineStr">
        <is>
          <t>R-012</t>
        </is>
      </c>
      <c r="C16" s="40" t="inlineStr">
        <is>
          <t>VERIFICATION_PLAN_v2 G-4 / OBS-055</t>
        </is>
      </c>
      <c r="D16" s="40" t="inlineStr">
        <is>
          <t>RAW/WAW hazard coverage real; WAR correctly waived as structurally unreachable</t>
        </is>
      </c>
      <c r="E16" s="40" t="inlineStr">
        <is>
          <t>Register hazard classification</t>
        </is>
      </c>
      <c r="F16" s="40" t="inlineStr">
        <is>
          <t>TP-21</t>
        </is>
      </c>
      <c r="G16" s="40" t="inlineStr">
        <is>
          <t>Simulation + RTL analysis</t>
        </is>
      </c>
      <c r="H16" s="40" t="inlineStr">
        <is>
          <t>Functional</t>
        </is>
      </c>
      <c r="I16" s="40" t="inlineStr">
        <is>
          <t>WAR waiver evidence-based, not silent</t>
        </is>
      </c>
      <c r="J16" s="40" t="inlineStr">
        <is>
          <t>P1</t>
        </is>
      </c>
      <c r="K16" s="40" t="inlineStr">
        <is>
          <t>Samuel Moussa</t>
        </is>
      </c>
      <c r="L16" s="40" t="inlineStr">
        <is>
          <t>PASS</t>
        </is>
      </c>
      <c r="M16" s="40" t="inlineStr">
        <is>
          <t>commit 6faa6e2</t>
        </is>
      </c>
    </row>
    <row r="17">
      <c r="B17" s="40" t="inlineStr">
        <is>
          <t>R-013</t>
        </is>
      </c>
      <c r="C17" s="40" t="inlineStr">
        <is>
          <t>VERIFICATION_PLAN_v2 BUS-5/W-4 / OBS-057</t>
        </is>
      </c>
      <c r="D17" s="40" t="inlineStr">
        <is>
          <t>AXI error-response handling must be measured, not assumed out of scope</t>
        </is>
      </c>
      <c r="E17" s="40" t="inlineStr">
        <is>
          <t>AXI fault tolerance</t>
        </is>
      </c>
      <c r="F17" s="40" t="inlineStr">
        <is>
          <t>TP-16</t>
        </is>
      </c>
      <c r="G17" s="40" t="inlineStr">
        <is>
          <t>Simulation, fault injection</t>
        </is>
      </c>
      <c r="H17" s="40" t="inlineStr">
        <is>
          <t>Negative</t>
        </is>
      </c>
      <c r="I17" s="40" t="inlineStr">
        <is>
          <t>evidenced disposition (finding, not silent waiver)</t>
        </is>
      </c>
      <c r="J17" s="40" t="inlineStr">
        <is>
          <t>P1</t>
        </is>
      </c>
      <c r="K17" s="40" t="inlineStr">
        <is>
          <t>Samuel Moussa</t>
        </is>
      </c>
      <c r="L17" s="40" t="inlineStr">
        <is>
          <t>PASS</t>
        </is>
      </c>
      <c r="M17" s="40" t="inlineStr">
        <is>
          <t>commit 669c09b, b16e0090</t>
        </is>
      </c>
    </row>
    <row r="18">
      <c r="B18" s="40" t="inlineStr">
        <is>
          <t>R-014</t>
        </is>
      </c>
      <c r="C18" s="40" t="inlineStr">
        <is>
          <t>docs/RTL_OBSERVATIONS.md OBS-056, OBS-068, OBS-069</t>
        </is>
      </c>
      <c r="D18" s="40" t="inlineStr">
        <is>
          <t>riscv-isacov-style ISA covergroups (RV32I/M/F/Zicsr/Zifencei) must run against the DUT via RVVI-TRACE</t>
        </is>
      </c>
      <c r="E18" s="40" t="inlineStr">
        <is>
          <t>ISA functional coverage</t>
        </is>
      </c>
      <c r="F18" s="40" t="inlineStr">
        <is>
          <t>TP-18</t>
        </is>
      </c>
      <c r="G18" s="40" t="inlineStr">
        <is>
          <t>Simulation</t>
        </is>
      </c>
      <c r="H18" s="40" t="inlineStr">
        <is>
          <t>Functional (ISA)</t>
        </is>
      </c>
      <c r="I18" s="40" t="inlineStr">
        <is>
          <t>non-degenerate coverpoints for reachable instrs</t>
        </is>
      </c>
      <c r="J18" s="40" t="inlineStr">
        <is>
          <t>P1</t>
        </is>
      </c>
      <c r="K18" s="40" t="inlineStr">
        <is>
          <t>Samuel Moussa</t>
        </is>
      </c>
      <c r="L18" s="40" t="inlineStr">
        <is>
          <t>PASS</t>
        </is>
      </c>
      <c r="M18" s="40" t="inlineStr">
        <is>
          <t>477/481 = 99.17% real (up from 83.14% at 2026-09-06 freeze, 3 gap-hunt rounds 2026-09-20); 2 permanently structurally dead (fence.i, nop); 4 bins honestly open (see RISCVISACOV_STATUS.md, RISCVISACOV_INSTRUCTION_REFERENCE.md)</t>
        </is>
      </c>
    </row>
    <row r="19">
      <c r="B19" s="40" t="inlineStr">
        <is>
          <t>R-015</t>
        </is>
      </c>
      <c r="C19" s="40" t="inlineStr">
        <is>
          <t>docs/GENERATOR_SCOPING_DECISION.md</t>
        </is>
      </c>
      <c r="D19" s="40" t="inlineStr">
        <is>
          <t>A SIMT-aware random generator must exist; reuse only if genuinely separable from its checking stack</t>
        </is>
      </c>
      <c r="E19" s="40" t="inlineStr">
        <is>
          <t>SIMT stimulus diversity</t>
        </is>
      </c>
      <c r="F19" s="40" t="inlineStr">
        <is>
          <t>TP-12,TP-13</t>
        </is>
      </c>
      <c r="G19" s="40" t="inlineStr">
        <is>
          <t>Design review + simulation</t>
        </is>
      </c>
      <c r="H19" s="40" t="inlineStr">
        <is>
          <t>N/A</t>
        </is>
      </c>
      <c r="I19" s="40" t="inlineStr">
        <is>
          <t>documented feasibility decision + working generator</t>
        </is>
      </c>
      <c r="J19" s="40" t="inlineStr">
        <is>
          <t>P1</t>
        </is>
      </c>
      <c r="K19" s="40" t="inlineStr">
        <is>
          <t>Samuel Moussa</t>
        </is>
      </c>
      <c r="L19" s="40" t="inlineStr">
        <is>
          <t>PASS</t>
        </is>
      </c>
      <c r="M19" s="40" t="inlineStr">
        <is>
          <t>FuzzGPU generator ruled out (inseparable); simtgen built original</t>
        </is>
      </c>
    </row>
    <row r="20">
      <c r="B20" s="40" t="inlineStr">
        <is>
          <t>R-016</t>
        </is>
      </c>
      <c r="C20" s="40" t="inlineStr">
        <is>
          <t>docs/RTL_OBSERVATIONS.md OBS-059</t>
        </is>
      </c>
      <c r="D20" s="40" t="inlineStr">
        <is>
          <t>Divergence-axis stimulus must reach the IPDOM stack's max depth bin (d[3])</t>
        </is>
      </c>
      <c r="E20" s="40" t="inlineStr">
        <is>
          <t>Divergence-depth coverage</t>
        </is>
      </c>
      <c r="F20" s="40" t="inlineStr">
        <is>
          <t>TP-12</t>
        </is>
      </c>
      <c r="G20" s="40" t="inlineStr">
        <is>
          <t>Simulation</t>
        </is>
      </c>
      <c r="H20" s="40" t="inlineStr">
        <is>
          <t>Functional</t>
        </is>
      </c>
      <c r="I20" s="40" t="inlineStr">
        <is>
          <t>cp_split_depth 4/4</t>
        </is>
      </c>
      <c r="J20" s="40" t="inlineStr">
        <is>
          <t>P1</t>
        </is>
      </c>
      <c r="K20" s="40" t="inlineStr">
        <is>
          <t>Samuel Moussa</t>
        </is>
      </c>
      <c r="L20" s="40" t="inlineStr">
        <is>
          <t>PASS</t>
        </is>
      </c>
      <c r="M20" s="40" t="inlineStr">
        <is>
          <t>0/50 seeds -&gt; 27 hits after volatile-accumulator fix</t>
        </is>
      </c>
    </row>
    <row r="21">
      <c r="B21" s="40" t="inlineStr">
        <is>
          <t>R-017</t>
        </is>
      </c>
      <c r="C21" s="40" t="inlineStr">
        <is>
          <t>this session, POCL validation</t>
        </is>
      </c>
      <c r="D21" s="40" t="inlineStr">
        <is>
          <t>A second, independent compiler toolchain (OpenCL-C) must reach the same DUT</t>
        </is>
      </c>
      <c r="E21" s="40" t="inlineStr">
        <is>
          <t>Toolchain diversity</t>
        </is>
      </c>
      <c r="F21" s="40" t="inlineStr">
        <is>
          <t>TP-14</t>
        </is>
      </c>
      <c r="G21" s="40" t="inlineStr">
        <is>
          <t>Simulation</t>
        </is>
      </c>
      <c r="H21" s="40" t="inlineStr">
        <is>
          <t>N/A</t>
        </is>
      </c>
      <c r="I21" s="40" t="inlineStr">
        <is>
          <t>real workload PASSED with real perf counters</t>
        </is>
      </c>
      <c r="J21" s="40" t="inlineStr">
        <is>
          <t>P2</t>
        </is>
      </c>
      <c r="K21" s="40" t="inlineStr">
        <is>
          <t>Samuel Moussa</t>
        </is>
      </c>
      <c r="L21" s="40" t="inlineStr">
        <is>
          <t>PASS</t>
        </is>
      </c>
      <c r="M21" s="40" t="inlineStr">
        <is>
          <t>saxpy PASSED, instrs=41601,cycles=41711,IPC=0.997</t>
        </is>
      </c>
    </row>
    <row r="22">
      <c r="B22" s="40" t="inlineStr">
        <is>
          <t>R-018</t>
        </is>
      </c>
      <c r="C22" s="40" t="inlineStr">
        <is>
          <t>docs/RTL_OBSERVATIONS.md OBS-061</t>
        </is>
      </c>
      <c r="D22" s="40" t="inlineStr">
        <is>
          <t>Primary RV32IMF config's actual elaborated FLEN/MISA-D state must be confirmed dynamically, not assumed</t>
        </is>
      </c>
      <c r="E22" s="40" t="inlineStr">
        <is>
          <t>Configuration fidelity</t>
        </is>
      </c>
      <c r="F22" s="40" t="inlineStr">
        <is>
          <t>none yet -- new finding</t>
        </is>
      </c>
      <c r="G22" s="40" t="inlineStr">
        <is>
          <t>Isolated elaboration probe</t>
        </is>
      </c>
      <c r="H22" s="40" t="inlineStr">
        <is>
          <t>N/A</t>
        </is>
      </c>
      <c r="I22" s="40" t="inlineStr">
        <is>
          <t>dynamic proof, not just static grep</t>
        </is>
      </c>
      <c r="J22" s="40" t="inlineStr">
        <is>
          <t>P1</t>
        </is>
      </c>
      <c r="K22" s="40" t="inlineStr">
        <is>
          <t>Samuel Moussa</t>
        </is>
      </c>
      <c r="L22" s="40" t="inlineStr">
        <is>
          <t>BLOCK</t>
        </is>
      </c>
      <c r="M22" s="40" t="inlineStr">
        <is>
          <t>OPEN: FLEN=64/MISA D=1 confirmed; 4 scoping follow-ups unresolved</t>
        </is>
      </c>
    </row>
    <row r="23">
      <c r="B23" s="40" t="inlineStr">
        <is>
          <t>R-019</t>
        </is>
      </c>
      <c r="C23" s="40" t="inlineStr">
        <is>
          <t>docs/RTL_OBSERVATIONS.md R10 / OBS-045</t>
        </is>
      </c>
      <c r="D23" s="40" t="inlineStr">
        <is>
          <t>Reset relay must not leave reset_o at X for one cycle</t>
        </is>
      </c>
      <c r="E23" s="40" t="inlineStr">
        <is>
          <t>Reset integrity</t>
        </is>
      </c>
      <c r="F23" s="40" t="inlineStr">
        <is>
          <t>kernel_launch_test regression</t>
        </is>
      </c>
      <c r="G23" s="40" t="inlineStr">
        <is>
          <t>Simulation, restored assertion</t>
        </is>
      </c>
      <c r="H23" s="40" t="inlineStr">
        <is>
          <t>Directed</t>
        </is>
      </c>
      <c r="I23" s="40" t="inlineStr">
        <is>
          <t>0 X-window; branch coverage re-measured honestly after fix</t>
        </is>
      </c>
      <c r="J23" s="40" t="inlineStr">
        <is>
          <t>P0</t>
        </is>
      </c>
      <c r="K23" s="40" t="inlineStr">
        <is>
          <t>Samuel Moussa</t>
        </is>
      </c>
      <c r="L23" s="40" t="inlineStr">
        <is>
          <t>PASS</t>
        </is>
      </c>
      <c r="M23" s="40" t="inlineStr">
        <is>
          <t>fixed here; still present upstream; coverage correctly DROPPED 95.1%-&gt;94.5%</t>
        </is>
      </c>
    </row>
    <row r="24">
      <c r="B24" s="40" t="inlineStr">
        <is>
          <t>R-020</t>
        </is>
      </c>
      <c r="C24" s="40" t="inlineStr">
        <is>
          <t>docs/RTL_OBSERVATIONS.md R1 / OBS-012, OBS-058</t>
        </is>
      </c>
      <c r="D24" s="40" t="inlineStr">
        <is>
          <t>JALR LSB-clear deviation from RISC-V spec must be logged with disposition</t>
        </is>
      </c>
      <c r="E24" s="40" t="inlineStr">
        <is>
          <t>ISA-compliance defect</t>
        </is>
      </c>
      <c r="F24" s="40" t="inlineStr">
        <is>
          <t>riscv-dv, simtgen divergence kernels</t>
        </is>
      </c>
      <c r="G24" s="40" t="inlineStr">
        <is>
          <t>Simulation + external cross-reference</t>
        </is>
      </c>
      <c r="H24" s="40" t="inlineStr">
        <is>
          <t>Directed</t>
        </is>
      </c>
      <c r="I24" s="40" t="inlineStr">
        <is>
          <t>logged, disposition stated, independently corroborated</t>
        </is>
      </c>
      <c r="J24" s="40" t="inlineStr">
        <is>
          <t>P1</t>
        </is>
      </c>
      <c r="K24" s="40" t="inlineStr">
        <is>
          <t>Samuel Moussa</t>
        </is>
      </c>
      <c r="L24" s="40" t="inlineStr">
        <is>
          <t>PASS (logged)</t>
        </is>
      </c>
      <c r="M24" s="40" t="inlineStr">
        <is>
          <t>present upstream at HEAD; independently found by FuzzGPU (USENIX Sec'26)</t>
        </is>
      </c>
    </row>
  </sheetData>
  <mergeCells count="2">
    <mergeCell ref="B2:M2"/>
    <mergeCell ref="B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B2:H23"/>
  <sheetViews>
    <sheetView showGridLines="0" topLeftCell="A11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4" customWidth="1" min="2" max="2"/>
    <col width="22" customWidth="1" min="3" max="6"/>
    <col width="28" customWidth="1" min="7" max="7"/>
    <col width="12" customWidth="1" min="8" max="8"/>
  </cols>
  <sheetData>
    <row r="1" ht="7.5" customHeight="1"/>
    <row r="2" ht="30" customHeight="1">
      <c r="B2" s="7" t="inlineStr">
        <is>
          <t>Feature &amp; Negative Scenario Coverage</t>
        </is>
      </c>
      <c r="C2" s="35" t="n"/>
      <c r="D2" s="35" t="n"/>
      <c r="E2" s="35" t="n"/>
      <c r="F2" s="35" t="n"/>
      <c r="G2" s="35" t="n"/>
      <c r="H2" s="35" t="n"/>
    </row>
    <row r="3" ht="21.75" customHeight="1">
      <c r="B3" s="5" t="inlineStr">
        <is>
          <t>A — Feature Coverage &amp; Cascaded (Mix &amp; Match) Scenarios</t>
        </is>
      </c>
      <c r="C3" s="35" t="n"/>
      <c r="D3" s="35" t="n"/>
      <c r="E3" s="35" t="n"/>
      <c r="F3" s="35" t="n"/>
      <c r="G3" s="35" t="n"/>
      <c r="H3" s="35" t="n"/>
    </row>
    <row r="4" ht="31.5" customHeight="1">
      <c r="B4" s="26" t="inlineStr">
        <is>
          <t>Feature ID</t>
        </is>
      </c>
      <c r="C4" s="26" t="inlineStr">
        <is>
          <t>Feature Name</t>
        </is>
      </c>
      <c r="D4" s="26" t="inlineStr">
        <is>
          <t>Primary Test Cases</t>
        </is>
      </c>
      <c r="E4" s="26" t="inlineStr">
        <is>
          <t>Cascaded Feature</t>
        </is>
      </c>
      <c r="F4" s="26" t="inlineStr">
        <is>
          <t>Cascaded Test Case</t>
        </is>
      </c>
      <c r="G4" s="26" t="inlineStr">
        <is>
          <t>Mix &amp; Match Intent</t>
        </is>
      </c>
      <c r="H4" s="26" t="inlineStr">
        <is>
          <t>Coverage %</t>
        </is>
      </c>
    </row>
    <row r="5" ht="31.5" customHeight="1">
      <c r="B5" s="39" t="inlineStr">
        <is>
          <t>FC-01</t>
        </is>
      </c>
      <c r="C5" s="39" t="inlineStr">
        <is>
          <t>instr_class_cg (ALU/LSU/SFU)</t>
        </is>
      </c>
      <c r="D5" s="39" t="inlineStr">
        <is>
          <t>riscv-dv, div_edge, sfu_masks</t>
        </is>
      </c>
      <c r="E5" s="39" t="inlineStr">
        <is>
          <t>Warp-mask cross</t>
        </is>
      </c>
      <c r="F5" s="39" t="inlineStr">
        <is>
          <t>&lt;uniform/partial,op&gt;</t>
        </is>
      </c>
      <c r="G5" s="39" t="inlineStr">
        <is>
          <t>op x active-thread-mask cross, per execution unit</t>
        </is>
      </c>
      <c r="H5" s="39" t="inlineStr">
        <is>
          <t>100% (op-decoded)</t>
        </is>
      </c>
    </row>
    <row r="6" ht="31.5" customHeight="1">
      <c r="B6" s="38" t="inlineStr">
        <is>
          <t>FC-02</t>
        </is>
      </c>
      <c r="C6" s="38" t="inlineStr">
        <is>
          <t>instr_class_cg (FPU)</t>
        </is>
      </c>
      <c r="D6" s="38" t="inlineStr">
        <is>
          <t>fpu_test, fpu_mt, diverge_fpu</t>
        </is>
      </c>
      <c r="E6" s="38" t="inlineStr">
        <is>
          <t>Partial-mask cross</t>
        </is>
      </c>
      <c r="F6" s="38" t="inlineStr">
        <is>
          <t>&lt;partial[2..3],fpu_op&gt;</t>
        </is>
      </c>
      <c r="G6" s="38" t="inlineStr">
        <is>
          <t>FP ops under peeled thread masks</t>
        </is>
      </c>
      <c r="H6" s="38" t="inlineStr">
        <is>
          <t>100% (fcvt/fnmadd fix)</t>
        </is>
      </c>
    </row>
    <row r="7" ht="31.5" customHeight="1">
      <c r="B7" s="39" t="inlineStr">
        <is>
          <t>FC-03</t>
        </is>
      </c>
      <c r="C7" s="39" t="inlineStr">
        <is>
          <t>instr_class_cg (TCU)</t>
        </is>
      </c>
      <c r="D7" s="39" t="inlineStr">
        <is>
          <t>tcu_test, tcu_mt</t>
        </is>
      </c>
      <c r="E7" s="39" t="inlineStr">
        <is>
          <t>Warp-collective cross</t>
        </is>
      </c>
      <c r="F7" s="39" t="inlineStr">
        <is>
          <t>&lt;uniform,wmma&gt;</t>
        </is>
      </c>
      <c r="G7" s="39" t="inlineStr">
        <is>
          <t>multi-warp WMMA collective op</t>
        </is>
      </c>
      <c r="H7" s="39" t="inlineStr">
        <is>
          <t>100% (multi-warp fix)</t>
        </is>
      </c>
    </row>
    <row r="8" ht="31.5" customHeight="1">
      <c r="B8" s="38" t="inlineStr">
        <is>
          <t>FC-04</t>
        </is>
      </c>
      <c r="C8" s="38" t="inlineStr">
        <is>
          <t>warp_divergence_cg.cp_split_depth</t>
        </is>
      </c>
      <c r="D8" s="38" t="inlineStr">
        <is>
          <t>simtgen (divergence axis)</t>
        </is>
      </c>
      <c r="E8" s="38" t="inlineStr">
        <is>
          <t>IPDOM stack depth 0..3</t>
        </is>
      </c>
      <c r="F8" s="38" t="inlineStr">
        <is>
          <t>d[0..3] x nested-if</t>
        </is>
      </c>
      <c r="G8" s="38" t="inlineStr">
        <is>
          <t>reconvergence-stack depth fully sampled</t>
        </is>
      </c>
      <c r="H8" s="38" t="inlineStr">
        <is>
          <t>4/4 = 100% (was 3/4)</t>
        </is>
      </c>
    </row>
    <row r="9" ht="31.5" customHeight="1">
      <c r="B9" s="39" t="inlineStr">
        <is>
          <t>FC-05</t>
        </is>
      </c>
      <c r="C9" s="39" t="inlineStr">
        <is>
          <t>lmem_bank_cg.cp_bank_conflict</t>
        </is>
      </c>
      <c r="D9" s="39" t="inlineStr">
        <is>
          <t>simtgen (memory axis, bank-hostile stride)</t>
        </is>
      </c>
      <c r="E9" s="39" t="inlineStr">
        <is>
          <t>LMEM bank x conflict state</t>
        </is>
      </c>
      <c r="F9" s="39" t="inlineStr">
        <is>
          <t>idle/no_conflict/conflict</t>
        </is>
      </c>
      <c r="G9" s="39" t="inlineStr">
        <is>
          <t>scratchpad bank contention observed for real</t>
        </is>
      </c>
      <c r="H9" s="39" t="inlineStr">
        <is>
          <t>3/3 = 100% (was 0/3)</t>
        </is>
      </c>
    </row>
    <row r="10" ht="31.5" customHeight="1">
      <c r="B10" s="38" t="inlineStr">
        <is>
          <t>FC-06</t>
        </is>
      </c>
      <c r="C10" s="38" t="inlineStr">
        <is>
          <t>coalesce_cg.cp_coalesce_kind</t>
        </is>
      </c>
      <c r="D10" s="38" t="inlineStr">
        <is>
          <t>simtgen (memory axis, 3 patterns)</t>
        </is>
      </c>
      <c r="E10" s="38" t="inlineStr">
        <is>
          <t>access-pattern x warp size</t>
        </is>
      </c>
      <c r="F10" s="38" t="inlineStr">
        <is>
          <t>coalescable/partial/scattered</t>
        </is>
      </c>
      <c r="G10" s="38" t="inlineStr">
        <is>
          <t>memory-coalescing classification</t>
        </is>
      </c>
      <c r="H10" s="38" t="inlineStr">
        <is>
          <t>3/3 = 100%</t>
        </is>
      </c>
    </row>
    <row r="11" ht="31.5" customHeight="1">
      <c r="B11" s="39" t="inlineStr">
        <is>
          <t>FC-07</t>
        </is>
      </c>
      <c r="C11" s="39" t="inlineStr">
        <is>
          <t>cache_event_cg (L1 I$/D$)</t>
        </is>
      </c>
      <c r="D11" s="39" t="inlineStr">
        <is>
          <t>cache_stress, cache_tier, mem_zero</t>
        </is>
      </c>
      <c r="E11" s="39" t="inlineStr">
        <is>
          <t>hit/miss x cache instance</t>
        </is>
      </c>
      <c r="F11" s="39" t="inlineStr">
        <is>
          <t>icache write-port waiver (WRITE_ENABLE=0)</t>
        </is>
      </c>
      <c r="G11" s="39" t="inlineStr">
        <is>
          <t>structural waivers evidence-cited per instance</t>
        </is>
      </c>
      <c r="H11" s="39" t="inlineStr">
        <is>
          <t>398/403 = 98.75%</t>
        </is>
      </c>
    </row>
    <row r="12" ht="31.5" customHeight="1">
      <c r="B12" s="38" t="inlineStr">
        <is>
          <t>FC-08</t>
        </is>
      </c>
      <c r="C12" s="38" t="inlineStr">
        <is>
          <t>cache_event_cg (L2/L3, shared)</t>
        </is>
      </c>
      <c r="D12" s="38" t="inlineStr">
        <is>
          <t>cache_tier @2CL+L2+L3</t>
        </is>
      </c>
      <c r="E12" s="38" t="inlineStr">
        <is>
          <t>hit/miss x 4 shared instances</t>
        </is>
      </c>
      <c r="F12" s="38" t="inlineStr">
        <is>
          <t>first exercise of shared tiers (was PASSTHRU)</t>
        </is>
      </c>
      <c r="G12" s="38" t="inlineStr">
        <is>
          <t>196,868-word byte-exact compare</t>
        </is>
      </c>
      <c r="H12" s="38" t="inlineStr">
        <is>
          <t>hit+miss on all 4 instances, 13k-15k hits ea.</t>
        </is>
      </c>
    </row>
    <row r="13">
      <c r="B13" s="40" t="inlineStr">
        <is>
          <t>FC-09</t>
        </is>
      </c>
      <c r="C13" s="40" t="inlineStr">
        <is>
          <t>dcr_cg (DCR RAL read-back)</t>
        </is>
      </c>
      <c r="D13" s="40" t="inlineStr">
        <is>
          <t>host_coverage_test</t>
        </is>
      </c>
      <c r="E13" s="40" t="inlineStr">
        <is>
          <t>per-core RAL x write value</t>
        </is>
      </c>
      <c r="F13" s="40" t="inlineStr">
        <is>
          <t>DCR write-during-busy race (OBS-025), disposition OPEN</t>
        </is>
      </c>
      <c r="G13" s="40" t="inlineStr">
        <is>
          <t>peek-only bind probe, never a write-back path</t>
        </is>
      </c>
      <c r="H13" s="40" t="inlineStr">
        <is>
          <t>15/15 checked, 0 failed</t>
        </is>
      </c>
    </row>
    <row r="14">
      <c r="B14" s="40" t="inlineStr">
        <is>
          <t>FC-10</t>
        </is>
      </c>
      <c r="C14" s="40" t="inlineStr">
        <is>
          <t>riscvISACOV (RV32I/M/F/Zicsr/Zifencei)</t>
        </is>
      </c>
      <c r="D14" s="40" t="inlineStr">
        <is>
          <t>targeted single-kernel +ISACOV gap-hunt (isacov_fill, 3 rounds)</t>
        </is>
      </c>
      <c r="E14" s="40" t="inlineStr">
        <is>
          <t>instruction x operand, machine-readable ISA-derived</t>
        </is>
      </c>
      <c r="F14" s="40" t="inlineStr">
        <is>
          <t>extends the standard model at its scalar boundary, does not replace it</t>
        </is>
      </c>
      <c r="G14" s="40" t="inlineStr">
        <is>
          <t>extends the standard model at its scalar boundary, does not replace it; per-instruction detail in riscvisacov/RISCVISACOV_INSTRUCTION_REFERENCE.md</t>
        </is>
      </c>
      <c r="H14" s="40" t="inlineStr">
        <is>
          <t>477/481 = 99.17% (99.57% weighted), up from 83.14% at the 2026-09-06 freeze</t>
        </is>
      </c>
    </row>
    <row r="15" ht="21.75" customHeight="1">
      <c r="B15" s="5" t="inlineStr">
        <is>
          <t>B — Negative Scenarios</t>
        </is>
      </c>
      <c r="C15" s="35" t="n"/>
      <c r="D15" s="35" t="n"/>
      <c r="E15" s="35" t="n"/>
      <c r="F15" s="35" t="n"/>
      <c r="G15" s="35" t="n"/>
      <c r="H15" s="35" t="n"/>
    </row>
    <row r="16" ht="31.5" customHeight="1">
      <c r="B16" s="26" t="inlineStr">
        <is>
          <t>Neg ID</t>
        </is>
      </c>
      <c r="C16" s="26" t="inlineStr">
        <is>
          <t>Negative Scenario</t>
        </is>
      </c>
      <c r="D16" s="26" t="inlineStr">
        <is>
          <t>Feature</t>
        </is>
      </c>
      <c r="E16" s="26" t="inlineStr">
        <is>
          <t>Expected DUT Behavior</t>
        </is>
      </c>
      <c r="F16" s="26" t="inlineStr">
        <is>
          <t>Error Type</t>
        </is>
      </c>
      <c r="G16" s="26" t="inlineStr">
        <is>
          <t>Linked TC</t>
        </is>
      </c>
      <c r="H16" s="26" t="inlineStr">
        <is>
          <t>Priority</t>
        </is>
      </c>
    </row>
    <row r="17" ht="31.5" customHeight="1">
      <c r="B17" s="39" t="inlineStr">
        <is>
          <t>NEG-01</t>
        </is>
      </c>
      <c r="C17" s="39" t="inlineStr">
        <is>
          <t>Wrong-value fault injection (+INJECT_FAULT)</t>
        </is>
      </c>
      <c r="D17" s="39" t="inlineStr">
        <is>
          <t>End-state scoreboard</t>
        </is>
      </c>
      <c r="E17" s="39" t="inlineStr">
        <is>
          <t>checker reports FAIL at the exact injected address</t>
        </is>
      </c>
      <c r="F17" s="39" t="inlineStr">
        <is>
          <t>data corruption</t>
        </is>
      </c>
      <c r="G17" s="39" t="inlineStr">
        <is>
          <t>TP-04, TP-05</t>
        </is>
      </c>
      <c r="H17" s="39" t="inlineStr">
        <is>
          <t>P0</t>
        </is>
      </c>
    </row>
    <row r="18" ht="31.5" customHeight="1">
      <c r="B18" s="38" t="inlineStr">
        <is>
          <t>NEG-02</t>
        </is>
      </c>
      <c r="C18" s="38" t="inlineStr">
        <is>
          <t>Dropped-store fault injection (+DROP_STORE)</t>
        </is>
      </c>
      <c r="D18" s="38" t="inlineStr">
        <is>
          <t>End-state scoreboard (reverse pass)</t>
        </is>
      </c>
      <c r="E18" s="38" t="inlineStr">
        <is>
          <t>checker reports FAIL -- a word SimX wrote that the DUT never did</t>
        </is>
      </c>
      <c r="F18" s="38" t="inlineStr">
        <is>
          <t>silent store loss</t>
        </is>
      </c>
      <c r="G18" s="38" t="inlineStr">
        <is>
          <t>TP-05</t>
        </is>
      </c>
      <c r="H18" s="38" t="inlineStr">
        <is>
          <t>P0</t>
        </is>
      </c>
    </row>
    <row r="19" ht="31.5" customHeight="1">
      <c r="B19" s="39" t="inlineStr">
        <is>
          <t>NEG-03</t>
        </is>
      </c>
      <c r="C19" s="39" t="inlineStr">
        <is>
          <t>AXI error-response injection (+AXI_INJECT_ERR)</t>
        </is>
      </c>
      <c r="D19" s="39" t="inlineStr">
        <is>
          <t>AXI master error path</t>
        </is>
      </c>
      <c r="E19" s="39" t="inlineStr">
        <is>
          <t>measured DUT behavior on a real SLVERR/DECERR</t>
        </is>
      </c>
      <c r="F19" s="39" t="inlineStr">
        <is>
          <t>bus protocol error</t>
        </is>
      </c>
      <c r="G19" s="39" t="inlineStr">
        <is>
          <t>TP-16</t>
        </is>
      </c>
      <c r="H19" s="39" t="inlineStr">
        <is>
          <t>P1</t>
        </is>
      </c>
    </row>
    <row r="20" ht="31.5" customHeight="1">
      <c r="B20" s="38" t="inlineStr">
        <is>
          <t>NEG-04</t>
        </is>
      </c>
      <c r="C20" s="38" t="inlineStr">
        <is>
          <t>riscv-dv on &gt;1 core, unmodified (OBS-027)</t>
        </is>
      </c>
      <c r="D20" s="38" t="inlineStr">
        <is>
          <t>Multi-core store ordering</t>
        </is>
      </c>
      <c r="E20" s="38" t="inlineStr">
        <is>
          <t>architecturally undefined without core-gating -- correctly excluded, not a false pass</t>
        </is>
      </c>
      <c r="F20" s="38" t="inlineStr">
        <is>
          <t>single-hart-in-multihart race</t>
        </is>
      </c>
      <c r="G20" s="38" t="inlineStr">
        <is>
          <t>TP-11</t>
        </is>
      </c>
      <c r="H20" s="38" t="inlineStr">
        <is>
          <t>P1</t>
        </is>
      </c>
    </row>
    <row r="21" ht="31.5" customHeight="1">
      <c r="B21" s="39" t="inlineStr">
        <is>
          <t>NEG-05</t>
        </is>
      </c>
      <c r="C21" s="39" t="inlineStr">
        <is>
          <t>Fenceless cross-cluster kernel (OBS-009)</t>
        </is>
      </c>
      <c r="D21" s="39" t="inlineStr">
        <is>
          <t>Weak-coherency memory model</t>
        </is>
      </c>
      <c r="E21" s="39" t="inlineStr">
        <is>
          <t>DUT/SimX divergence is EXPECTED, not a bug -- must not be misclassified as a failure</t>
        </is>
      </c>
      <c r="F21" s="39" t="inlineStr">
        <is>
          <t>undefined cross-core ordering</t>
        </is>
      </c>
      <c r="G21" s="39" t="inlineStr">
        <is>
          <t>TP-25 (T-cache)</t>
        </is>
      </c>
      <c r="H21" s="39" t="inlineStr">
        <is>
          <t>P2</t>
        </is>
      </c>
    </row>
    <row r="22" ht="31.5" customHeight="1">
      <c r="B22" s="38" t="inlineStr">
        <is>
          <t>NEG-06</t>
        </is>
      </c>
      <c r="C22" s="38" t="inlineStr">
        <is>
          <t>Misaligned data access, no trap (OBS-013)</t>
        </is>
      </c>
      <c r="D22" s="38" t="inlineStr">
        <is>
          <t>Exception/trap architecture</t>
        </is>
      </c>
      <c r="E22" s="38" t="inlineStr">
        <is>
          <t>silently retargeted/torn access; sim-only RUNTIME_ASSERT is the only guard</t>
        </is>
      </c>
      <c r="F22" s="38" t="inlineStr">
        <is>
          <t>misaligned load/store</t>
        </is>
      </c>
      <c r="G22" s="38" t="inlineStr">
        <is>
          <t>TP-24 (T-exc)</t>
        </is>
      </c>
      <c r="H22" s="38" t="inlineStr">
        <is>
          <t>P2</t>
        </is>
      </c>
    </row>
    <row r="23">
      <c r="B23" s="40" t="inlineStr">
        <is>
          <t>NEG-07</t>
        </is>
      </c>
      <c r="C23" s="40" t="inlineStr">
        <is>
          <t>Buggy generator stride -&gt; real cross-warp collision</t>
        </is>
      </c>
      <c r="D23" s="40" t="inlineStr">
        <is>
          <t>simtgen memory-axis dev iteration</t>
        </is>
      </c>
      <c r="E23" s="40" t="inlineStr">
        <is>
          <t>caught as 6/6 genuine scoreboard MEM MISMATCH before the fix landed</t>
        </is>
      </c>
      <c r="F23" s="40" t="inlineStr">
        <is>
          <t>stimulus-bug false failure, correctly diagnosed not silenced</t>
        </is>
      </c>
      <c r="G23" s="40" t="inlineStr">
        <is>
          <t>TP-13</t>
        </is>
      </c>
      <c r="H23" s="40" t="inlineStr">
        <is>
          <t>P1</t>
        </is>
      </c>
    </row>
  </sheetData>
  <mergeCells count="3">
    <mergeCell ref="B3:H3"/>
    <mergeCell ref="B2:H2"/>
    <mergeCell ref="B15:H1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4B942"/>
    <outlinePr summaryBelow="1" summaryRight="1"/>
    <pageSetUpPr/>
  </sheetPr>
  <dimension ref="B2:H23"/>
  <sheetViews>
    <sheetView showGridLines="0" topLeftCell="A10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0" customWidth="1" min="2" max="2"/>
    <col width="22" customWidth="1" min="3" max="3"/>
    <col width="20" customWidth="1" min="4" max="4"/>
    <col width="28" customWidth="1" min="5" max="6"/>
    <col width="14" customWidth="1" min="7" max="7"/>
    <col width="10" customWidth="1" min="8" max="8"/>
  </cols>
  <sheetData>
    <row r="1" ht="7.5" customHeight="1"/>
    <row r="2" ht="30" customHeight="1">
      <c r="B2" s="7" t="inlineStr">
        <is>
          <t>Corner Cases, Toggle Coverage &amp; Data Scenarios</t>
        </is>
      </c>
      <c r="C2" s="35" t="n"/>
      <c r="D2" s="35" t="n"/>
      <c r="E2" s="35" t="n"/>
      <c r="F2" s="35" t="n"/>
      <c r="G2" s="35" t="n"/>
      <c r="H2" s="35" t="n"/>
    </row>
    <row r="3" ht="21.75" customHeight="1">
      <c r="B3" s="5" t="inlineStr">
        <is>
          <t>A — Data Corner Cases</t>
        </is>
      </c>
      <c r="C3" s="35" t="n"/>
      <c r="D3" s="35" t="n"/>
      <c r="E3" s="35" t="n"/>
      <c r="F3" s="35" t="n"/>
      <c r="G3" s="35" t="n"/>
      <c r="H3" s="35" t="n"/>
    </row>
    <row r="4" ht="31.5" customHeight="1">
      <c r="B4" s="26" t="inlineStr">
        <is>
          <t>CC ID</t>
        </is>
      </c>
      <c r="C4" s="26" t="inlineStr">
        <is>
          <t>Signal / Parameter</t>
        </is>
      </c>
      <c r="D4" s="26" t="inlineStr">
        <is>
          <t>Corner Case Value</t>
        </is>
      </c>
      <c r="E4" s="26" t="inlineStr">
        <is>
          <t>Rationale</t>
        </is>
      </c>
      <c r="F4" s="26" t="inlineStr">
        <is>
          <t>Expected Behavior</t>
        </is>
      </c>
      <c r="G4" s="26" t="inlineStr">
        <is>
          <t>Linked TC</t>
        </is>
      </c>
      <c r="H4" s="26" t="inlineStr">
        <is>
          <t>Priority</t>
        </is>
      </c>
    </row>
    <row r="5" ht="31.5" customHeight="1">
      <c r="B5" s="39" t="inlineStr">
        <is>
          <t>CC-01</t>
        </is>
      </c>
      <c r="C5" s="39" t="inlineStr">
        <is>
          <t>Integer divider operands</t>
        </is>
      </c>
      <c r="D5" s="39" t="inlineStr">
        <is>
          <t>0, -1, INT_MIN / -1</t>
        </is>
      </c>
      <c r="E5" s="39" t="inlineStr">
        <is>
          <t>classic division-by-zero / overflow corners hide hardware divider bugs</t>
        </is>
      </c>
      <c r="F5" s="39" t="inlineStr">
        <is>
          <t>architecturally-defined result per RISC-V spec, no trap</t>
        </is>
      </c>
      <c r="G5" s="39" t="inlineStr">
        <is>
          <t>TP-20</t>
        </is>
      </c>
      <c r="H5" s="39" t="inlineStr">
        <is>
          <t>P1</t>
        </is>
      </c>
    </row>
    <row r="6" ht="31.5" customHeight="1">
      <c r="B6" s="38" t="inlineStr">
        <is>
          <t>CC-02</t>
        </is>
      </c>
      <c r="C6" s="38" t="inlineStr">
        <is>
          <t>IEEE-754 FP class</t>
        </is>
      </c>
      <c r="D6" s="38" t="inlineStr">
        <is>
          <t>NaN, +/-Inf, subnormal, signed zero</t>
        </is>
      </c>
      <c r="E6" s="38" t="inlineStr">
        <is>
          <t>exercise cp_fp_class with real, non-degenerate values</t>
        </is>
      </c>
      <c r="F6" s="38" t="inlineStr">
        <is>
          <t>real class value, not a constant stub</t>
        </is>
      </c>
      <c r="G6" s="38" t="inlineStr">
        <is>
          <t>TP-19</t>
        </is>
      </c>
      <c r="H6" s="38" t="inlineStr">
        <is>
          <t>P1</t>
        </is>
      </c>
    </row>
    <row r="7" ht="31.5" customHeight="1">
      <c r="B7" s="39" t="inlineStr">
        <is>
          <t>CC-03</t>
        </is>
      </c>
      <c r="C7" s="39" t="inlineStr">
        <is>
          <t>fsqrt.s result</t>
        </is>
      </c>
      <c r="D7" s="39" t="inlineStr">
        <is>
          <t>values probing the 1-ULP boundary</t>
        </is>
      </c>
      <c r="E7" s="39" t="inlineStr">
        <is>
          <t>OBS-014: hardware fsqrt.s deviates 1 ULP from IEEE-correct</t>
        </is>
      </c>
      <c r="F7" s="39" t="inlineStr">
        <is>
          <t>known, disclosed 1-ULP deviation (accuracy limitation, logged as a finding)</t>
        </is>
      </c>
      <c r="G7" s="39" t="inlineStr">
        <is>
          <t>fpu_test</t>
        </is>
      </c>
      <c r="H7" s="39" t="inlineStr">
        <is>
          <t>P2</t>
        </is>
      </c>
    </row>
    <row r="8" ht="31.5" customHeight="1">
      <c r="B8" s="38" t="inlineStr">
        <is>
          <t>CC-04</t>
        </is>
      </c>
      <c r="C8" s="38" t="inlineStr">
        <is>
          <t>Misaligned load/store address</t>
        </is>
      </c>
      <c r="D8" s="38" t="inlineStr">
        <is>
          <t>addr not aligned to access width</t>
        </is>
      </c>
      <c r="E8" s="38" t="inlineStr">
        <is>
          <t>no trap in this DUT; silently retargeted/torn (OBS-013)</t>
        </is>
      </c>
      <c r="F8" s="38" t="inlineStr">
        <is>
          <t>sim-only RUNTIME_ASSERT is the only guard -- must not silently pass</t>
        </is>
      </c>
      <c r="G8" s="38" t="inlineStr">
        <is>
          <t>TP-24 (T-exc)</t>
        </is>
      </c>
      <c r="H8" s="38" t="inlineStr">
        <is>
          <t>P1</t>
        </is>
      </c>
    </row>
    <row r="9" ht="31.5" customHeight="1">
      <c r="B9" s="39" t="inlineStr">
        <is>
          <t>CC-05</t>
        </is>
      </c>
      <c r="C9" s="39" t="inlineStr">
        <is>
          <t>IPDOM divergence-stack depth</t>
        </is>
      </c>
      <c r="D9" s="39" t="inlineStr">
        <is>
          <t>d = 0,1,2,3 (NUM_THREADS-1 bound)</t>
        </is>
      </c>
      <c r="E9" s="39" t="inlineStr">
        <is>
          <t>the RTL-derived reconvergence-stack bound (VX_gpu_pkg.sv:53)</t>
        </is>
      </c>
      <c r="F9" s="39" t="inlineStr">
        <is>
          <t>cp_split_depth samples every depth, incl. d[3]</t>
        </is>
      </c>
      <c r="G9" s="39" t="inlineStr">
        <is>
          <t>TP-12 (simtgen)</t>
        </is>
      </c>
      <c r="H9" s="39" t="inlineStr">
        <is>
          <t>P1</t>
        </is>
      </c>
    </row>
    <row r="10" ht="31.5" customHeight="1">
      <c r="B10" s="38" t="inlineStr">
        <is>
          <t>CC-06</t>
        </is>
      </c>
      <c r="C10" s="38" t="inlineStr">
        <is>
          <t>Scratchpad bank index collision</t>
        </is>
      </c>
      <c r="D10" s="38" t="inlineStr">
        <is>
          <t>idx = base + tid*nt (deliberately bank-hostile)</t>
        </is>
      </c>
      <c r="E10" s="38" t="inlineStr">
        <is>
          <t>provoke real contention rather than hope for it by chance</t>
        </is>
      </c>
      <c r="F10" s="38" t="inlineStr">
        <is>
          <t>conflict bin non-zero, no false address collision</t>
        </is>
      </c>
      <c r="G10" s="38" t="inlineStr">
        <is>
          <t>TP-13, TP-17</t>
        </is>
      </c>
      <c r="H10" s="38" t="inlineStr">
        <is>
          <t>P1</t>
        </is>
      </c>
    </row>
    <row r="11" ht="31.5" customHeight="1">
      <c r="B11" s="39" t="inlineStr">
        <is>
          <t>CC-07</t>
        </is>
      </c>
      <c r="C11" s="39" t="inlineStr">
        <is>
          <t>JALR target LSB</t>
        </is>
      </c>
      <c r="D11" s="39" t="inlineStr">
        <is>
          <t>odd computed target address</t>
        </is>
      </c>
      <c r="E11" s="39" t="inlineStr">
        <is>
          <t>OBS-012/R1: JALR does not clear the LSB, an ISA-spec deviation</t>
        </is>
      </c>
      <c r="F11" s="39" t="inlineStr">
        <is>
          <t>logged disposition; odd PC propagates via AUIPC -- not silently ignored</t>
        </is>
      </c>
      <c r="G11" s="39" t="inlineStr">
        <is>
          <t>TP-20, riscv-dv</t>
        </is>
      </c>
      <c r="H11" s="39" t="inlineStr">
        <is>
          <t>P1</t>
        </is>
      </c>
    </row>
    <row r="12" ht="31.5" customHeight="1">
      <c r="B12" s="38" t="inlineStr">
        <is>
          <t>CC-08</t>
        </is>
      </c>
      <c r="C12" s="38" t="inlineStr">
        <is>
          <t>AXI burst size / response</t>
        </is>
      </c>
      <c r="D12" s="38" t="inlineStr">
        <is>
          <t>native DATA_SIZE-derived awsize; injected SLVERR/DECERR</t>
        </is>
      </c>
      <c r="E12" s="38" t="inlineStr">
        <is>
          <t>structural reachability boundary + real fault tolerance measurement</t>
        </is>
      </c>
      <c r="F12" s="38" t="inlineStr">
        <is>
          <t>cp_size 100% (native only, evidence-cited); AXI error path measured (OBS-057)</t>
        </is>
      </c>
      <c r="G12" s="38" t="inlineStr">
        <is>
          <t>TP-15, TP-16</t>
        </is>
      </c>
      <c r="H12" s="38" t="inlineStr">
        <is>
          <t>P1</t>
        </is>
      </c>
    </row>
    <row r="13">
      <c r="B13" s="40" t="inlineStr">
        <is>
          <t>CC-09</t>
        </is>
      </c>
      <c r="C13" s="40" t="inlineStr">
        <is>
          <t>Reset relay timing window</t>
        </is>
      </c>
      <c r="D13" s="40" t="inlineStr">
        <is>
          <t>1 cycle immediately after RESET_RELAY deassertion</t>
        </is>
      </c>
      <c r="E13" s="40" t="inlineStr">
        <is>
          <t>OBS-045/R10: reset_o was X for one cycle, nothing resets the relay flop</t>
        </is>
      </c>
      <c r="F13" s="40" t="inlineStr">
        <is>
          <t>0 X-window after fix; branch coverage honestly re-measured (95.1%-&gt;94.5%)</t>
        </is>
      </c>
      <c r="G13" s="40" t="inlineStr">
        <is>
          <t>kernel_launch_test regression</t>
        </is>
      </c>
      <c r="H13" s="40" t="inlineStr">
        <is>
          <t>P0</t>
        </is>
      </c>
    </row>
    <row r="14">
      <c r="B14" s="40" t="inlineStr">
        <is>
          <t>CC-10</t>
        </is>
      </c>
      <c r="C14" s="40" t="inlineStr">
        <is>
          <t>Primary config FLEN / MISA-D bit</t>
        </is>
      </c>
      <c r="D14" s="40" t="inlineStr">
        <is>
          <t>RV32IMF config as elaborated (not as named)</t>
        </is>
      </c>
      <c r="E14" s="40" t="inlineStr">
        <is>
          <t>OBS-061: dynamically confirmed FLEN=64, MISA D-bit=1 -- contradicts the 'RV32IMF, no D' assumption</t>
        </is>
      </c>
      <c r="F14" s="40" t="inlineStr">
        <is>
          <t>OPEN -- reachability/soundness/coverage-dilution scoping not yet complete</t>
        </is>
      </c>
      <c r="G14" s="40" t="inlineStr">
        <is>
          <t>none yet -- new finding</t>
        </is>
      </c>
      <c r="H14" s="40" t="inlineStr">
        <is>
          <t>P1</t>
        </is>
      </c>
    </row>
    <row r="15" ht="21.75" customHeight="1">
      <c r="B15" s="5" t="inlineStr">
        <is>
          <t>B — Toggle Coverage Plan</t>
        </is>
      </c>
      <c r="C15" s="35" t="n"/>
      <c r="D15" s="35" t="n"/>
      <c r="E15" s="35" t="n"/>
      <c r="F15" s="35" t="n"/>
      <c r="G15" s="35" t="n"/>
      <c r="H15" s="35" t="n"/>
    </row>
    <row r="16" ht="31.5" customHeight="1">
      <c r="B16" s="26" t="inlineStr">
        <is>
          <t>TGL ID</t>
        </is>
      </c>
      <c r="C16" s="26" t="inlineStr">
        <is>
          <t>Signal Name</t>
        </is>
      </c>
      <c r="D16" s="26" t="inlineStr">
        <is>
          <t>Toggle Type</t>
        </is>
      </c>
      <c r="E16" s="26" t="inlineStr">
        <is>
          <t>Condition to Trigger</t>
        </is>
      </c>
      <c r="F16" s="26" t="inlineStr">
        <is>
          <t>Test Cases</t>
        </is>
      </c>
      <c r="G16" s="26" t="inlineStr">
        <is>
          <t>Target %</t>
        </is>
      </c>
      <c r="H16" s="26" t="inlineStr">
        <is>
          <t>Measured %</t>
        </is>
      </c>
    </row>
    <row r="17" ht="31.5" customHeight="1">
      <c r="B17" s="39" t="inlineStr">
        <is>
          <t>TGL-01</t>
        </is>
      </c>
      <c r="C17" s="39" t="inlineStr">
        <is>
          <t>icache write-data path (512b)</t>
        </is>
      </c>
      <c r="D17" s="39" t="inlineStr">
        <is>
          <t>0-&gt;1-&gt;0 on write-data bus</t>
        </is>
      </c>
      <c r="E17" s="39" t="inlineStr">
        <is>
          <t>icache elaborated with WRITE_ENABLE=0 (read-only)</t>
        </is>
      </c>
      <c r="F17" s="39" t="inlineStr">
        <is>
          <t>cache_stress, cache_tier</t>
        </is>
      </c>
      <c r="G17" s="39" t="inlineStr">
        <is>
          <t>0% (structural)</t>
        </is>
      </c>
      <c r="H17" s="39" t="inlineStr">
        <is>
          <t>0% -- structurally undrivable, evidence-cited waiver (OBS-033)</t>
        </is>
      </c>
    </row>
    <row r="18" ht="31.5" customHeight="1">
      <c r="B18" s="38" t="inlineStr">
        <is>
          <t>TGL-02</t>
        </is>
      </c>
      <c r="C18" s="38" t="inlineStr">
        <is>
          <t>icache response-data path</t>
        </is>
      </c>
      <c r="D18" s="38" t="inlineStr">
        <is>
          <t>0-&gt;1-&gt;0 on read-response bus</t>
        </is>
      </c>
      <c r="E18" s="38" t="inlineStr">
        <is>
          <t>positive control proving the read direction IS alive</t>
        </is>
      </c>
      <c r="F18" s="38" t="inlineStr">
        <is>
          <t>cache_stress, cache_tier</t>
        </is>
      </c>
      <c r="G18" s="38" t="inlineStr">
        <is>
          <t>100%</t>
        </is>
      </c>
      <c r="H18" s="38" t="inlineStr">
        <is>
          <t>toggles on all 512 bits -- confirms only the WRITE direction is dead</t>
        </is>
      </c>
    </row>
    <row r="19" ht="31.5" customHeight="1">
      <c r="B19" s="39" t="inlineStr">
        <is>
          <t>TGL-03</t>
        </is>
      </c>
      <c r="C19" s="39" t="inlineStr">
        <is>
          <t>dcache write-through data path</t>
        </is>
      </c>
      <c r="D19" s="39" t="inlineStr">
        <is>
          <t>0-&gt;1-&gt;0 on cache write-data</t>
        </is>
      </c>
      <c r="E19" s="39" t="inlineStr">
        <is>
          <t>write-through (no write-back) cache; still the dominant reachable subtree</t>
        </is>
      </c>
      <c r="F19" s="39" t="inlineStr">
        <is>
          <t>wide_stress, mem_stress, mshr_flood</t>
        </is>
      </c>
      <c r="G19" s="39" t="inlineStr">
        <is>
          <t>target: max reachable</t>
        </is>
      </c>
      <c r="H19" s="39" t="inlineStr">
        <is>
          <t>89% measured</t>
        </is>
      </c>
    </row>
    <row r="20" ht="31.5" customHeight="1">
      <c r="B20" s="38" t="inlineStr">
        <is>
          <t>TGL-04</t>
        </is>
      </c>
      <c r="C20" s="38" t="inlineStr">
        <is>
          <t>44-bit UUID counter bits [18:31]</t>
        </is>
      </c>
      <c r="D20" s="38" t="inlineStr">
        <is>
          <t>full toggle across the retire-tag counter width</t>
        </is>
      </c>
      <c r="E20" s="38" t="inlineStr">
        <is>
          <t>OBS-034: bits no simulation can ever toggle at current run lengths -- infeasible, NOT waived</t>
        </is>
      </c>
      <c r="F20" s="38" t="inlineStr">
        <is>
          <t>every retiring instruction</t>
        </is>
      </c>
      <c r="G20" s="38" t="inlineStr">
        <is>
          <t>not targeted for 100% -- deliberately left honest</t>
        </is>
      </c>
      <c r="H20" s="38" t="inlineStr">
        <is>
          <t>OPEN, not waived (infeasible != structurally dead)</t>
        </is>
      </c>
    </row>
    <row r="21" ht="31.5" customHeight="1">
      <c r="B21" s="39" t="inlineStr">
        <is>
          <t>TGL-05</t>
        </is>
      </c>
      <c r="C21" s="39" t="inlineStr">
        <is>
          <t>AXI b_valid_stable</t>
        </is>
      </c>
      <c r="D21" s="39" t="inlineStr">
        <is>
          <t>stability of BVALID across a full write-response window</t>
        </is>
      </c>
      <c r="E21" s="39" t="inlineStr">
        <is>
          <t>adapter hardwires m_axi_bready=1'b1 (write-through, fire-and-forget)</t>
        </is>
      </c>
      <c r="F21" s="39" t="inlineStr">
        <is>
          <t>axi_stress, axi_traffic</t>
        </is>
      </c>
      <c r="G21" s="39" t="inlineStr">
        <is>
          <t>0% (structural)</t>
        </is>
      </c>
      <c r="H21" s="39" t="inlineStr">
        <is>
          <t>excluded -- structurally unreachable, evidence-cited (VX_axi_adapter.sv:313)</t>
        </is>
      </c>
    </row>
    <row r="22" ht="31.5" customHeight="1">
      <c r="B22" s="38" t="inlineStr">
        <is>
          <t>TGL-06</t>
        </is>
      </c>
      <c r="C22" s="38" t="inlineStr">
        <is>
          <t>AXI r_valid / r_data_stable</t>
        </is>
      </c>
      <c r="D22" s="38" t="inlineStr">
        <is>
          <t>stability of RVALID/RDATA under slave backpressure</t>
        </is>
      </c>
      <c r="E22" s="38" t="inlineStr">
        <is>
          <t>reachable in principle, but the DUT's read buffer never forces rready to drop under +AXI_FLOOD</t>
        </is>
      </c>
      <c r="F22" s="38" t="inlineStr">
        <is>
          <t>axi_edge (+AXI_FLOOD)</t>
        </is>
      </c>
      <c r="G22" s="38" t="inlineStr">
        <is>
          <t>target: reachable</t>
        </is>
      </c>
      <c r="H22" s="38" t="inlineStr">
        <is>
          <t>left honestly uncovered -- reachable but not hit, NOT waived</t>
        </is>
      </c>
    </row>
    <row r="23">
      <c r="B23" s="40" t="inlineStr">
        <is>
          <t>TGL-07</t>
        </is>
      </c>
      <c r="C23" s="40" t="inlineStr">
        <is>
          <t>commit_arb_if.valid / ready (all lanes)</t>
        </is>
      </c>
      <c r="D23" s="40" t="inlineStr">
        <is>
          <t>toggling across all ISSUE_WIDTH lanes, all cores</t>
        </is>
      </c>
      <c r="E23" s="40" t="inlineStr">
        <is>
          <t>feeds the real (non-fabricated) instruction-count/IPC measurement</t>
        </is>
      </c>
      <c r="F23" s="40" t="inlineStr">
        <is>
          <t>every kernel_launch_test run</t>
        </is>
      </c>
      <c r="G23" s="40" t="inlineStr">
        <is>
          <t>100% intended</t>
        </is>
      </c>
      <c r="H23" s="40" t="inlineStr">
        <is>
          <t>verified via C2 fix, commits 22115864/11f71359</t>
        </is>
      </c>
    </row>
  </sheetData>
  <mergeCells count="3">
    <mergeCell ref="B3:H3"/>
    <mergeCell ref="B2:H2"/>
    <mergeCell ref="B15:H15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F7A8C"/>
    <outlinePr summaryBelow="1" summaryRight="1"/>
    <pageSetUpPr/>
  </sheetPr>
  <dimension ref="B2:E30"/>
  <sheetViews>
    <sheetView showGridLines="0" topLeftCell="A7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8" customWidth="1" min="2" max="2"/>
    <col width="50" customWidth="1" min="3" max="3"/>
    <col width="22" customWidth="1" min="4" max="5"/>
  </cols>
  <sheetData>
    <row r="1" ht="7.5" customHeight="1"/>
    <row r="2" ht="36" customHeight="1">
      <c r="B2" s="7" t="inlineStr">
        <is>
          <t>Test Environment &amp; Methodology</t>
        </is>
      </c>
      <c r="C2" s="35" t="n"/>
      <c r="D2" s="35" t="n"/>
      <c r="E2" s="35" t="n"/>
    </row>
    <row r="3" ht="21.75" customHeight="1">
      <c r="B3" s="5" t="inlineStr">
        <is>
          <t>Verification Methodology</t>
        </is>
      </c>
      <c r="C3" s="35" t="n"/>
      <c r="D3" s="35" t="n"/>
      <c r="E3" s="35" t="n"/>
    </row>
    <row r="4" ht="21.75" customHeight="1">
      <c r="B4" s="29" t="inlineStr">
        <is>
          <t>Methodology</t>
        </is>
      </c>
      <c r="C4" s="41" t="inlineStr">
        <is>
          <t>Simulation -- directed native kernels + constrained-random (Google riscv-dv via core-v-verif) + an original SIMT-aware random generator (simtgen) + a second compiler path (POCL/OpenCL-C). No formal/emulation/FPGA in this project's scope.</t>
        </is>
      </c>
      <c r="D4" s="37" t="n"/>
      <c r="E4" s="37" t="n"/>
    </row>
    <row r="5" ht="21.75" customHeight="1">
      <c r="B5" s="30" t="inlineStr">
        <is>
          <t>Simulator / Tool</t>
        </is>
      </c>
      <c r="C5" s="42" t="inlineStr">
        <is>
          <t>Siemens QuestaSim 2021.2_1</t>
        </is>
      </c>
      <c r="D5" s="37" t="n"/>
      <c r="E5" s="37" t="n"/>
    </row>
    <row r="6" ht="21.75" customHeight="1">
      <c r="B6" s="29" t="inlineStr">
        <is>
          <t>Formal Tool</t>
        </is>
      </c>
      <c r="C6" s="41" t="inlineStr">
        <is>
          <t>N/A -- no formal property verification in scope (see README Scope and limits)</t>
        </is>
      </c>
      <c r="D6" s="37" t="n"/>
      <c r="E6" s="37" t="n"/>
    </row>
    <row r="7" ht="21.75" customHeight="1">
      <c r="B7" s="30" t="inlineStr">
        <is>
          <t>Coverage Closure Goal</t>
        </is>
      </c>
      <c r="C7" s="42" t="inlineStr">
        <is>
          <t>Total (banked): 94.72% / 94.55% / 93.18% across 3 configs, never blended. Covergroup bins 370/377=98.1% (primary). Line/stmt 98.1%, branch 94.5%, assertions 96.9%, SVA directives 100%.</t>
        </is>
      </c>
      <c r="D7" s="37" t="n"/>
      <c r="E7" s="37" t="n"/>
    </row>
    <row r="8" ht="21.75" customHeight="1">
      <c r="B8" s="29" t="inlineStr">
        <is>
          <t>Regression Framework</t>
        </is>
      </c>
      <c r="C8" s="41" t="inlineStr">
        <is>
          <t>Custom Makefile (run.sh -&gt; prepare.sh -&gt; compile.sh -&gt; simulate.sh) + run_suite.sh regression driver + UVM 1.2 test library</t>
        </is>
      </c>
      <c r="D8" s="37" t="n"/>
      <c r="E8" s="37" t="n"/>
    </row>
    <row r="10" ht="21.75" customHeight="1">
      <c r="B10" s="5" t="inlineStr">
        <is>
          <t>DUT Configuration</t>
        </is>
      </c>
      <c r="C10" s="35" t="n"/>
      <c r="D10" s="35" t="n"/>
      <c r="E10" s="35" t="n"/>
    </row>
    <row r="11" ht="21.75" customHeight="1">
      <c r="B11" s="30" t="inlineStr">
        <is>
          <t>DUT Name / Version</t>
        </is>
      </c>
      <c r="C11" s="42" t="inlineStr">
        <is>
          <t>Vortex GPGPU, RTL pinned at upstream 7a52ee5 + this project's local RTL/TB fixes (git submodule, branch fft-poc)</t>
        </is>
      </c>
      <c r="D11" s="37" t="n"/>
      <c r="E11" s="37" t="n"/>
    </row>
    <row r="12" ht="21.75" customHeight="1">
      <c r="B12" s="29" t="inlineStr">
        <is>
          <t>RTL Top Module</t>
        </is>
      </c>
      <c r="C12" s="41" t="inlineStr">
        <is>
          <t>Vortex.sv (native cache-line bus) / Vortex_axi.sv = Vortex.sv + VX_axi_adapter (AXI4, primary)</t>
        </is>
      </c>
      <c r="D12" s="37" t="n"/>
      <c r="E12" s="37" t="n"/>
    </row>
    <row r="13" ht="21.75" customHeight="1">
      <c r="B13" s="30" t="inlineStr">
        <is>
          <t>Clock Frequency</t>
        </is>
      </c>
      <c r="C13" s="42" t="inlineStr">
        <is>
          <t>N/A -- functional RTL simulation only, no target implementation frequency</t>
        </is>
      </c>
      <c r="D13" s="37" t="n"/>
      <c r="E13" s="37" t="n"/>
    </row>
    <row r="14" ht="21.75" customHeight="1">
      <c r="B14" s="29" t="inlineStr">
        <is>
          <t>Reset Polarity</t>
        </is>
      </c>
      <c r="C14" s="41" t="inlineStr">
        <is>
          <t>Active-High, Asynchronous assert / synchronous-to-clk deassert (always @(posedge clk or posedge reset); see OBS-045 for the VX_reset_relay one-cycle X-window finding and its fix)</t>
        </is>
      </c>
      <c r="D14" s="37" t="n"/>
      <c r="E14" s="37" t="n"/>
    </row>
    <row r="15" ht="21.75" customHeight="1">
      <c r="B15" s="30" t="inlineStr">
        <is>
          <t>Technology Node</t>
        </is>
      </c>
      <c r="C15" s="42" t="inlineStr">
        <is>
          <t>N/A -- front-end functional verification only; no synthesis/technology mapping in scope</t>
        </is>
      </c>
      <c r="D15" s="37" t="n"/>
      <c r="E15" s="37" t="n"/>
    </row>
    <row r="16" ht="21.75" customHeight="1">
      <c r="B16" s="29" t="inlineStr">
        <is>
          <t>Synthesis Constraints</t>
        </is>
      </c>
      <c r="C16" s="41" t="inlineStr">
        <is>
          <t>N/A -- not applicable at this verification stage</t>
        </is>
      </c>
      <c r="D16" s="37" t="n"/>
      <c r="E16" s="37" t="n"/>
    </row>
    <row r="18" ht="21.75" customHeight="1">
      <c r="B18" s="5" t="inlineStr">
        <is>
          <t>Testbench Architecture</t>
        </is>
      </c>
      <c r="C18" s="35" t="n"/>
      <c r="D18" s="35" t="n"/>
      <c r="E18" s="35" t="n"/>
    </row>
    <row r="19" ht="21.75" customHeight="1">
      <c r="B19" s="30" t="inlineStr">
        <is>
          <t>TB Top</t>
        </is>
      </c>
      <c r="C19" s="42" t="inlineStr">
        <is>
          <t>vortex_tb_top.sv</t>
        </is>
      </c>
      <c r="D19" s="37" t="n"/>
      <c r="E19" s="37" t="n"/>
    </row>
    <row r="20" ht="21.75" customHeight="1">
      <c r="B20" s="29" t="inlineStr">
        <is>
          <t>Interface / VIF</t>
        </is>
      </c>
      <c r="C20" s="41" t="inlineStr">
        <is>
          <t>vortex_axi_if (AXI4, primary) / vortex_mem_if (native) / vortex_dcr_if / vortex_status_if / vortex_if (misc SVA)</t>
        </is>
      </c>
      <c r="D20" s="37" t="n"/>
      <c r="E20" s="37" t="n"/>
    </row>
    <row r="21" ht="21.75" customHeight="1">
      <c r="B21" s="30" t="inlineStr">
        <is>
          <t>Scoreboard</t>
        </is>
      </c>
      <c r="C21" s="42" t="inlineStr">
        <is>
          <t>Present -- two independent scoreboards: bidirectional end-state (vortex_scoreboard.svh) + per-instruction lockstep (lockstep_scoreboard.svh)</t>
        </is>
      </c>
      <c r="D21" s="37" t="n"/>
      <c r="E21" s="37" t="n"/>
    </row>
    <row r="22" ht="21.75" customHeight="1">
      <c r="B22" s="29" t="inlineStr">
        <is>
          <t>Functional Coverage</t>
        </is>
      </c>
      <c r="C22" s="41" t="inlineStr">
        <is>
          <t>Present -- 19-20 original SIMT covergroups (divergence, coalescing, bank-conflict, cache events, DCR, AXI crosses, instr-class per execution unit) + extended riscvISACOV RV32I/M/F/Zicsr/Zifencei coverage</t>
        </is>
      </c>
      <c r="D22" s="37" t="n"/>
      <c r="E22" s="37" t="n"/>
    </row>
    <row r="23" ht="21.75" customHeight="1">
      <c r="B23" s="30" t="inlineStr">
        <is>
          <t>Assertions (SVA)</t>
        </is>
      </c>
      <c r="C23" s="42" t="inlineStr">
        <is>
          <t>Present -- 30 AXI SVA assertions + 16 AXI cover properties, plus per-interface SVA on mem/dcr/status/misc interfaces</t>
        </is>
      </c>
      <c r="D23" s="37" t="n"/>
      <c r="E23" s="37" t="n"/>
    </row>
    <row r="24" ht="21.75" customHeight="1">
      <c r="B24" s="29" t="inlineStr">
        <is>
          <t>Reference Model</t>
        </is>
      </c>
      <c r="C24" s="41" t="inlineStr">
        <is>
          <t>Present -- SimX (primary, DPI-C, cycle-approximate, recompiled per config) + Spike (secondary, independent, base-ISA/warp0/lane0 cross-check only)</t>
        </is>
      </c>
      <c r="D24" s="37" t="n"/>
      <c r="E24" s="37" t="n"/>
    </row>
    <row r="26" ht="21.75" customHeight="1">
      <c r="B26" s="5" t="inlineStr">
        <is>
          <t>Pass / Fail Infrastructure</t>
        </is>
      </c>
      <c r="C26" s="35" t="n"/>
      <c r="D26" s="35" t="n"/>
      <c r="E26" s="35" t="n"/>
    </row>
    <row r="27" ht="21.75" customHeight="1">
      <c r="B27" s="30" t="inlineStr">
        <is>
          <t>Mismatch Detection</t>
        </is>
      </c>
      <c r="C27" s="42" t="inlineStr">
        <is>
          <t>Bidirectional scoreboard comparison: DUT memory/console vs SimX end-state (every DUT-written word AND every SimX-written word the DUT never wrote), plus per-lane per-instruction lockstep (PC/rd/value) vs SimX, cross-checked offline vs Spike on the base-ISA subset</t>
        </is>
      </c>
      <c r="D27" s="37" t="n"/>
      <c r="E27" s="37" t="n"/>
    </row>
    <row r="28" ht="21.75" customHeight="1">
      <c r="B28" s="29" t="inlineStr">
        <is>
          <t>X / Z Propagation</t>
        </is>
      </c>
      <c r="C28" s="41" t="inlineStr">
        <is>
          <t>Not available -- QuestaSim 2021.2_1 has no -xprop flag on this toolchain (confirmed); X-propagation analysis is an explicit non-goal, stated in README Scope and limits</t>
        </is>
      </c>
      <c r="D28" s="37" t="n"/>
      <c r="E28" s="37" t="n"/>
    </row>
    <row r="29" ht="21.75" customHeight="1">
      <c r="B29" s="30" t="inlineStr">
        <is>
          <t>Timeout Watchdog</t>
        </is>
      </c>
      <c r="C29" s="42" t="inlineStr">
        <is>
          <t>Per-test TIMEOUT plusarg, measured per program (e.g. text_big needs 490,468 cycles; riscv-dv default 205,982); RTL-side STALL_TIMEOUT watchdog (OBS-011 fixed: was 1**N=1, never scaled)</t>
        </is>
      </c>
      <c r="D29" s="37" t="n"/>
      <c r="E29" s="37" t="n"/>
    </row>
    <row r="30" ht="21.75" customHeight="1">
      <c r="B30" s="29" t="inlineStr">
        <is>
          <t>Log / Report Format</t>
        </is>
      </c>
      <c r="C30" s="41" t="inlineStr">
        <is>
          <t>results/&lt;date&gt;/run_&lt;time&gt;_&lt;test&gt;/ -- full transcript + pass/fail SUMMARY.txt + per-run coverage.ucdb; merged via vcover into per-config banks under cov/bank_&lt;CFG&gt;/</t>
        </is>
      </c>
      <c r="D30" s="37" t="n"/>
      <c r="E30" s="37" t="n"/>
    </row>
  </sheetData>
  <mergeCells count="26">
    <mergeCell ref="C16:E16"/>
    <mergeCell ref="C22:E22"/>
    <mergeCell ref="C21:E21"/>
    <mergeCell ref="C12:E12"/>
    <mergeCell ref="B26:E26"/>
    <mergeCell ref="C11:E11"/>
    <mergeCell ref="C27:E27"/>
    <mergeCell ref="C23:E23"/>
    <mergeCell ref="C8:E8"/>
    <mergeCell ref="B3:E3"/>
    <mergeCell ref="C7:E7"/>
    <mergeCell ref="B18:E18"/>
    <mergeCell ref="C28:E28"/>
    <mergeCell ref="C19:E19"/>
    <mergeCell ref="C13:E13"/>
    <mergeCell ref="B2:E2"/>
    <mergeCell ref="C30:E30"/>
    <mergeCell ref="C15:E15"/>
    <mergeCell ref="C6:E6"/>
    <mergeCell ref="C24:E24"/>
    <mergeCell ref="C14:E14"/>
    <mergeCell ref="C5:E5"/>
    <mergeCell ref="C4:E4"/>
    <mergeCell ref="C29:E29"/>
    <mergeCell ref="B10:E10"/>
    <mergeCell ref="C20:E20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B2:F24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4" customWidth="1" min="2" max="2"/>
    <col width="28" customWidth="1" min="3" max="3"/>
    <col width="18" customWidth="1" min="4" max="5"/>
    <col width="32" customWidth="1" min="6" max="6"/>
  </cols>
  <sheetData>
    <row r="1" ht="7.5" customHeight="1"/>
    <row r="2" ht="36" customHeight="1">
      <c r="B2" s="7" t="inlineStr">
        <is>
          <t>Sign-off &amp; Review</t>
        </is>
      </c>
      <c r="C2" s="35" t="n"/>
      <c r="D2" s="35" t="n"/>
      <c r="E2" s="35" t="n"/>
      <c r="F2" s="35" t="n"/>
    </row>
    <row r="4" ht="21.75" customHeight="1">
      <c r="B4" s="5" t="inlineStr">
        <is>
          <t>A — Approval Signatures</t>
        </is>
      </c>
      <c r="C4" s="35" t="n"/>
      <c r="D4" s="35" t="n"/>
      <c r="E4" s="35" t="n"/>
      <c r="F4" s="35" t="n"/>
    </row>
    <row r="5" ht="31.5" customHeight="1">
      <c r="B5" s="26" t="inlineStr">
        <is>
          <t>Role</t>
        </is>
      </c>
      <c r="C5" s="26" t="inlineStr">
        <is>
          <t>Name</t>
        </is>
      </c>
      <c r="D5" s="26" t="inlineStr">
        <is>
          <t>Department</t>
        </is>
      </c>
      <c r="E5" s="26" t="inlineStr">
        <is>
          <t>Date</t>
        </is>
      </c>
      <c r="F5" s="26" t="inlineStr">
        <is>
          <t>Signature / Sign-off</t>
        </is>
      </c>
    </row>
    <row r="6" ht="25.5" customHeight="1">
      <c r="B6" s="29" t="inlineStr">
        <is>
          <t>Test Plan Author</t>
        </is>
      </c>
      <c r="C6" s="38" t="inlineStr">
        <is>
          <t>Samuel Moussa</t>
        </is>
      </c>
      <c r="D6" s="38" t="inlineStr">
        <is>
          <t>Digital Verification (solo)</t>
        </is>
      </c>
      <c r="E6" s="38" t="inlineStr">
        <is>
          <t>2026-09-07</t>
        </is>
      </c>
      <c r="F6" s="13" t="n"/>
    </row>
    <row r="7" ht="25.5" customHeight="1">
      <c r="B7" s="30" t="inlineStr">
        <is>
          <t>Design Lead</t>
        </is>
      </c>
      <c r="C7" s="39" t="inlineStr">
        <is>
          <t>N/A -- solo project, no separate design-lead role</t>
        </is>
      </c>
      <c r="D7" s="39" t="inlineStr">
        <is>
          <t>-</t>
        </is>
      </c>
      <c r="E7" s="16" t="n"/>
      <c r="F7" s="16" t="n"/>
    </row>
    <row r="8" ht="25.5" customHeight="1">
      <c r="B8" s="29" t="inlineStr">
        <is>
          <t>Verification Lead</t>
        </is>
      </c>
      <c r="C8" s="38" t="inlineStr">
        <is>
          <t>Samuel Moussa</t>
        </is>
      </c>
      <c r="D8" s="38" t="inlineStr">
        <is>
          <t>Digital Verification (solo)</t>
        </is>
      </c>
      <c r="E8" s="38" t="inlineStr">
        <is>
          <t>2026-09-07</t>
        </is>
      </c>
      <c r="F8" s="13" t="n"/>
    </row>
    <row r="9" ht="25.5" customHeight="1">
      <c r="B9" s="30" t="inlineStr">
        <is>
          <t>Project Manager</t>
        </is>
      </c>
      <c r="C9" s="39" t="inlineStr">
        <is>
          <t>N/A -- academic graduation project, no PM role</t>
        </is>
      </c>
      <c r="D9" s="16" t="n"/>
      <c r="E9" s="16" t="n"/>
      <c r="F9" s="16" t="n"/>
    </row>
    <row r="10" ht="25.5" customHeight="1">
      <c r="B10" s="29" t="inlineStr">
        <is>
          <t>Quality Assurance</t>
        </is>
      </c>
      <c r="C10" s="38" t="inlineStr">
        <is>
          <t>Dr. Hassan Aboushady / Dr. Alhassan Sayed (academic review) -- Assoc. Prof. Dr. Alhassan Sayed, Supervisor; mentored by Dr. Hossam Hassan</t>
        </is>
      </c>
      <c r="D10" s="13" t="n"/>
      <c r="E10" s="13" t="n"/>
      <c r="F10" s="13" t="n"/>
    </row>
    <row r="12" ht="21.75" customHeight="1">
      <c r="B12" s="5" t="inlineStr">
        <is>
          <t>B — Review Comments</t>
        </is>
      </c>
      <c r="C12" s="35" t="n"/>
      <c r="D12" s="35" t="n"/>
      <c r="E12" s="35" t="n"/>
      <c r="F12" s="35" t="n"/>
    </row>
    <row r="13" ht="31.5" customHeight="1">
      <c r="B13" s="26" t="inlineStr">
        <is>
          <t>#</t>
        </is>
      </c>
      <c r="C13" s="26" t="inlineStr">
        <is>
          <t>Reviewer</t>
        </is>
      </c>
      <c r="D13" s="26" t="inlineStr">
        <is>
          <t>Section</t>
        </is>
      </c>
      <c r="E13" s="26" t="inlineStr">
        <is>
          <t>Comment</t>
        </is>
      </c>
      <c r="F13" s="26" t="inlineStr">
        <is>
          <t>Resolution / Action</t>
        </is>
      </c>
    </row>
    <row r="14" ht="27.75" customHeight="1">
      <c r="B14" s="38" t="inlineStr">
        <is>
          <t>1</t>
        </is>
      </c>
      <c r="C14" s="38" t="inlineStr">
        <is>
          <t>Claude (Opus/Sonnet review pass)</t>
        </is>
      </c>
      <c r="D14" s="38" t="inlineStr">
        <is>
          <t>D-matrix / SIGN</t>
        </is>
      </c>
      <c r="E14" s="38" t="inlineStr">
        <is>
          <t>D-matrix is PARTIAL: 1CL/2CL/2CL+L2L3 banked clean, but 2CL was blocked historically on FW-1b duplicate-test + budget fixes</t>
        </is>
      </c>
      <c r="F14" s="38" t="inlineStr">
        <is>
          <t>Both since resolved in-tree per run_suite.sh; re-verify before SIGN is closed</t>
        </is>
      </c>
    </row>
    <row r="15" ht="27.75" customHeight="1">
      <c r="B15" s="39" t="inlineStr">
        <is>
          <t>2</t>
        </is>
      </c>
      <c r="C15" s="39" t="inlineStr">
        <is>
          <t>Claude (Opus/Sonnet review pass)</t>
        </is>
      </c>
      <c r="D15" s="39" t="inlineStr">
        <is>
          <t>OBS-061 / RV32D</t>
        </is>
      </c>
      <c r="E15" s="39" t="inlineStr">
        <is>
          <t>Primary config elaborates FLEN=64/MISA D=1, contradicting the assumed 'RV32IMF, no D' scope</t>
        </is>
      </c>
      <c r="F15" s="39" t="inlineStr">
        <is>
          <t>Confirmed dynamically via isolated elaboration probe; 4 scoping follow-ups (reachability, bank dilution, SimX F-only soundness, intent) remain OPEN</t>
        </is>
      </c>
    </row>
    <row r="16" ht="27.75" customHeight="1">
      <c r="B16" s="38" t="inlineStr">
        <is>
          <t>3</t>
        </is>
      </c>
      <c r="C16" s="38" t="inlineStr">
        <is>
          <t>Claude (Opus/Sonnet review pass)</t>
        </is>
      </c>
      <c r="D16" s="38" t="inlineStr">
        <is>
          <t>simtgen coverage closures</t>
        </is>
      </c>
      <c r="E16" s="38" t="inlineStr">
        <is>
          <t>3 bins closed (cp_split_depth, cp_bank_conflict, cp_coalesce_kind) are in ISOLATED merges, not the frozen banked totals</t>
        </is>
      </c>
      <c r="F16" s="38" t="inlineStr">
        <is>
          <t>Do not quote as part of 94.72/94.55/93.18% until a full-suite re-run folds them in -- tracked, not silently assumed</t>
        </is>
      </c>
    </row>
    <row r="17" ht="27.75" customHeight="1">
      <c r="B17" s="39" t="inlineStr">
        <is>
          <t>4</t>
        </is>
      </c>
      <c r="C17" s="39" t="inlineStr">
        <is>
          <t>Claude (Opus/Sonnet review pass)</t>
        </is>
      </c>
      <c r="D17" s="39" t="inlineStr">
        <is>
          <t>Generator scope</t>
        </is>
      </c>
      <c r="E17" s="39" t="inlineStr">
        <is>
          <t>FuzzGPU's generator was evaluated for reuse and found inseparable from its checking stack</t>
        </is>
      </c>
      <c r="F17" s="39" t="inlineStr">
        <is>
          <t>Documented as a negative result in docs/GENERATOR_SCOPING_DECISION.md; simtgen built original instead, axis taxonomy only reused as a label</t>
        </is>
      </c>
    </row>
    <row r="18" ht="27.75" customHeight="1">
      <c r="B18" s="31" t="inlineStr">
        <is>
          <t>5</t>
        </is>
      </c>
      <c r="C18" s="13" t="n"/>
      <c r="D18" s="13" t="n"/>
      <c r="E18" s="13" t="n"/>
      <c r="F18" s="13" t="n"/>
    </row>
    <row r="19" ht="27.75" customHeight="1">
      <c r="B19" s="32" t="inlineStr">
        <is>
          <t>6</t>
        </is>
      </c>
      <c r="C19" s="16" t="n"/>
      <c r="D19" s="16" t="n"/>
      <c r="E19" s="16" t="n"/>
      <c r="F19" s="16" t="n"/>
    </row>
    <row r="20" ht="27.75" customHeight="1">
      <c r="B20" s="31" t="inlineStr">
        <is>
          <t>7</t>
        </is>
      </c>
      <c r="C20" s="13" t="n"/>
      <c r="D20" s="13" t="n"/>
      <c r="E20" s="13" t="n"/>
      <c r="F20" s="13" t="n"/>
    </row>
    <row r="21" ht="27.75" customHeight="1">
      <c r="B21" s="32" t="inlineStr">
        <is>
          <t>8</t>
        </is>
      </c>
      <c r="C21" s="16" t="n"/>
      <c r="D21" s="16" t="n"/>
      <c r="E21" s="16" t="n"/>
      <c r="F21" s="16" t="n"/>
    </row>
    <row r="23" ht="21.75" customHeight="1">
      <c r="B23" s="5" t="inlineStr">
        <is>
          <t>C — Overall Plan Verdict</t>
        </is>
      </c>
      <c r="C23" s="35" t="n"/>
      <c r="D23" s="35" t="n"/>
      <c r="E23" s="35" t="n"/>
      <c r="F23" s="35" t="n"/>
    </row>
    <row r="24" ht="36" customHeight="1">
      <c r="B24" s="2" t="inlineStr">
        <is>
          <t>Verdict:</t>
        </is>
      </c>
      <c r="C24" s="37" t="n"/>
      <c r="D24" s="37" t="n"/>
      <c r="E24" s="43" t="inlineStr">
        <is>
          <t>APPROVED WITH COMMENTS -- Gate-0 and Tier-1 fully closed and evidenced; Tier-2 (T-cache, T-exc) and Tier-3 (D-matrix full closure, SIGN) remain open per the Test Plan sheet; OBS-061 is an open scoping item to resolve before final sign-off.</t>
        </is>
      </c>
      <c r="F24" s="37" t="n"/>
    </row>
  </sheetData>
  <mergeCells count="6">
    <mergeCell ref="B4:F4"/>
    <mergeCell ref="B12:F12"/>
    <mergeCell ref="B2:F2"/>
    <mergeCell ref="E24:F24"/>
    <mergeCell ref="B23:F23"/>
    <mergeCell ref="B24:D24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808080"/>
    <outlinePr summaryBelow="1" summaryRight="1"/>
    <pageSetUpPr/>
  </sheetPr>
  <dimension ref="B2:F15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0" customWidth="1" min="2" max="2"/>
    <col width="14" customWidth="1" min="3" max="3"/>
    <col width="22" customWidth="1" min="4" max="5"/>
    <col width="46" customWidth="1" min="6" max="6"/>
  </cols>
  <sheetData>
    <row r="1" ht="7.5" customHeight="1"/>
    <row r="2" ht="36" customHeight="1">
      <c r="B2" s="7" t="inlineStr">
        <is>
          <t>Revision History</t>
        </is>
      </c>
      <c r="C2" s="35" t="n"/>
      <c r="D2" s="35" t="n"/>
      <c r="E2" s="35" t="n"/>
      <c r="F2" s="35" t="n"/>
    </row>
    <row r="3" ht="31.5" customHeight="1">
      <c r="B3" s="26" t="inlineStr">
        <is>
          <t>Rev</t>
        </is>
      </c>
      <c r="C3" s="26" t="inlineStr">
        <is>
          <t>Date</t>
        </is>
      </c>
      <c r="D3" s="26" t="inlineStr">
        <is>
          <t>Author</t>
        </is>
      </c>
      <c r="E3" s="26" t="inlineStr">
        <is>
          <t>Approved By</t>
        </is>
      </c>
      <c r="F3" s="26" t="inlineStr">
        <is>
          <t>Description of Changes</t>
        </is>
      </c>
    </row>
    <row r="4" ht="25.5" customHeight="1">
      <c r="B4" s="44" t="inlineStr">
        <is>
          <t>v0.1</t>
        </is>
      </c>
      <c r="C4" s="38" t="inlineStr">
        <is>
          <t>2025-10-23</t>
        </is>
      </c>
      <c r="D4" s="38" t="inlineStr">
        <is>
          <t>Samuel Moussa (+ initial team)</t>
        </is>
      </c>
      <c r="E4" s="38" t="inlineStr">
        <is>
          <t>-</t>
        </is>
      </c>
      <c r="F4" s="38" t="inlineStr">
        <is>
          <t>Initial commit -- Vortex GPGPU UVM GP project scaffolded, README + verification plan draft</t>
        </is>
      </c>
    </row>
    <row r="5" ht="25.5" customHeight="1">
      <c r="B5" s="45" t="inlineStr">
        <is>
          <t>v0.2</t>
        </is>
      </c>
      <c r="C5" s="39" t="inlineStr">
        <is>
          <t>2026-03-19 .. 2026-04-10</t>
        </is>
      </c>
      <c r="D5" s="39" t="inlineStr">
        <is>
          <t>Samuel Moussa</t>
        </is>
      </c>
      <c r="E5" s="39" t="inlineStr">
        <is>
          <t>-</t>
        </is>
      </c>
      <c r="F5" s="39" t="inlineStr">
        <is>
          <t>UVM environment bring-up: env pkg refactor, DPI-C/analysis imports, mem_agent + AXI/functional-memory virtual sequences, SimX DPI integration stabilized</t>
        </is>
      </c>
    </row>
    <row r="6" ht="25.5" customHeight="1">
      <c r="B6" s="38" t="inlineStr">
        <is>
          <t>v0.3</t>
        </is>
      </c>
      <c r="C6" s="38" t="inlineStr">
        <is>
          <t>2026-05-05 .. 2026-06-24</t>
        </is>
      </c>
      <c r="D6" s="38" t="inlineStr">
        <is>
          <t>Samuel Moussa</t>
        </is>
      </c>
      <c r="E6" s="38" t="inlineStr">
        <is>
          <t>-</t>
        </is>
      </c>
      <c r="F6" s="38" t="inlineStr">
        <is>
          <t>Major architectural restructure: sim-flow fixes, execution tracking, AXI protocol verification, scoreboard delegated to DUT memory responses; real SimX-based scoreboard overhaul; first negative fault-injection test added</t>
        </is>
      </c>
    </row>
    <row r="7" ht="25.5" customHeight="1">
      <c r="B7" s="39" t="inlineStr">
        <is>
          <t>v0.4</t>
        </is>
      </c>
      <c r="C7" s="39" t="inlineStr">
        <is>
          <t>2026-06-26 .. 2026-06-29</t>
        </is>
      </c>
      <c r="D7" s="39" t="inlineStr">
        <is>
          <t>Samuel Moussa</t>
        </is>
      </c>
      <c r="E7" s="39" t="inlineStr">
        <is>
          <t>-</t>
        </is>
      </c>
      <c r="F7" s="39" t="inlineStr">
        <is>
          <t>Gate-0 closed: C1 (tag width), C3 (real EBREAK completion), C2 (real retirement count), T4 (honest error gate); INV-1 solved (printf-light kernels); negative_result_test proven non-vacuous</t>
        </is>
      </c>
    </row>
    <row r="8" ht="25.5" customHeight="1">
      <c r="B8" s="38" t="inlineStr">
        <is>
          <t>v0.5</t>
        </is>
      </c>
      <c r="C8" s="38" t="inlineStr">
        <is>
          <t>2026-07-08 .. 2026-07-10</t>
        </is>
      </c>
      <c r="D8" s="38" t="inlineStr">
        <is>
          <t>Samuel Moussa</t>
        </is>
      </c>
      <c r="E8" s="38" t="inlineStr">
        <is>
          <t>-</t>
        </is>
      </c>
      <c r="F8" s="38" t="inlineStr">
        <is>
          <t>Coverage pushed 79.2%-&gt;91.0% (1CL); 2CL riscv-dv divergence root-caused (weak-coherency, not a DUT bug); config-aware coverage exclusions introduced</t>
        </is>
      </c>
    </row>
    <row r="9" ht="25.5" customHeight="1">
      <c r="B9" s="39" t="inlineStr">
        <is>
          <t>v0.6</t>
        </is>
      </c>
      <c r="C9" s="39" t="inlineStr">
        <is>
          <t>2026-08-06 .. 2026-08-12</t>
        </is>
      </c>
      <c r="D9" s="39" t="inlineStr">
        <is>
          <t>Samuel Moussa</t>
        </is>
      </c>
      <c r="E9" s="39" t="inlineStr">
        <is>
          <t>-</t>
        </is>
      </c>
      <c r="F9" s="39" t="inlineStr">
        <is>
          <t>A3 (golden-halt discipline), A6 (Spike independence audit), B1 (DCR RAL), B2 (single-source scoreboard), SB-DIR (bidirectional/dropped-store) all closed; Gate-0 formally signed off; 1CL banked clean 45/45=91.08%</t>
        </is>
      </c>
    </row>
    <row r="10" ht="25.5" customHeight="1">
      <c r="B10" s="38" t="inlineStr">
        <is>
          <t>v0.7</t>
        </is>
      </c>
      <c r="C10" s="38" t="inlineStr">
        <is>
          <t>2026-08-15 .. 2026-08-20</t>
        </is>
      </c>
      <c r="D10" s="38" t="inlineStr">
        <is>
          <t>Samuel Moussa</t>
        </is>
      </c>
      <c r="E10" s="38" t="inlineStr">
        <is>
          <t>-</t>
        </is>
      </c>
      <c r="F10" s="38" t="inlineStr">
        <is>
          <t>Coverage maximized to 94.72%/94.55%; icache toggle root-caused (WRITE_ENABLE=0); R10 reset-relay X-window found+fixed; UVM testbench repackaged into Vortex/sim/uvmsim as a real git submodule</t>
        </is>
      </c>
    </row>
    <row r="11" ht="25.5" customHeight="1">
      <c r="B11" s="39" t="inlineStr">
        <is>
          <t>v0.8</t>
        </is>
      </c>
      <c r="C11" s="39" t="inlineStr">
        <is>
          <t>2026-09-03 .. 2026-09-04</t>
        </is>
      </c>
      <c r="D11" s="39" t="inlineStr">
        <is>
          <t>Samuel Moussa</t>
        </is>
      </c>
      <c r="E11" s="39" t="inlineStr">
        <is>
          <t>-</t>
        </is>
      </c>
      <c r="F11" s="39" t="inlineStr">
        <is>
          <t>riscvISACOV gap-hunt (OBS-056, 78/80 real); G-4/register-hazard + OBS-054/055 closed; PPT/diagram handoff report for review</t>
        </is>
      </c>
    </row>
    <row r="12" ht="25.5" customHeight="1">
      <c r="B12" s="38" t="inlineStr">
        <is>
          <t>v0.9</t>
        </is>
      </c>
      <c r="C12" s="38" t="inlineStr">
        <is>
          <t>2026-09-05 .. 2026-09-06</t>
        </is>
      </c>
      <c r="D12" s="38" t="inlineStr">
        <is>
          <t>Samuel Moussa</t>
        </is>
      </c>
      <c r="E12" s="38" t="inlineStr">
        <is>
          <t>-</t>
        </is>
      </c>
      <c r="F12" s="38" t="inlineStr">
        <is>
          <t>G-3/G-6/G-7 closed; G-9 partial (lmem bank-conflict probe); BUS-5/W-4 upgraded via OBS-057 AXI error injection; whole-project PPT handover drafted</t>
        </is>
      </c>
    </row>
    <row r="13" ht="25.5" customHeight="1">
      <c r="B13" s="39" t="inlineStr">
        <is>
          <t>v1.0</t>
        </is>
      </c>
      <c r="C13" s="39" t="inlineStr">
        <is>
          <t>2026-09-07</t>
        </is>
      </c>
      <c r="D13" s="39" t="inlineStr">
        <is>
          <t>Samuel Moussa</t>
        </is>
      </c>
      <c r="E13" s="39" t="inlineStr">
        <is>
          <t>pending formal review</t>
        </is>
      </c>
      <c r="F13" s="39" t="inlineStr">
        <is>
          <t>G-9 fully closed (OBS-060 probe fix); simtgen (original SIMT-aware random generator, divergence+memory axes) built and coverage-verified; POCL/OpenCL toolchain validated end-to-end; OBS-061 (FLEN=64) found and logged as open; README rewritten as a standard, reusable, fully-configurable UVM framework; this test-plan workbook filled from project history</t>
        </is>
      </c>
    </row>
    <row r="14" ht="25.5" customHeight="1">
      <c r="B14" s="39" t="inlineStr">
        <is>
          <t>v1.1</t>
        </is>
      </c>
      <c r="C14" s="39" t="inlineStr">
        <is>
          <t>2026-09-20</t>
        </is>
      </c>
      <c r="D14" s="39" t="inlineStr">
        <is>
          <t>Samuel Moussa</t>
        </is>
      </c>
      <c r="E14" s="39" t="inlineStr">
        <is>
          <t>-</t>
        </is>
      </c>
      <c r="F14" s="39" t="inlineStr">
        <is>
          <t>riscvISACOV L1 gap-hunt re-opened and taken from 83.14% (2026-09-06 freeze) to 99.17% (477/481 bins, 99.57% weighted) over 3 stimulus rounds, each re-verified byte-exact under LOCKSTEP before banking; new per-instruction reference doc (RISCVISACOV_INSTRUCTION_REFERENCE.md, all 80 covergroups); OBS-068 (branch/jal disassembly parsing bug) and OBS-069 (open lhu sign anomaly) found and disclosed; Coverage_Model_Reference.md stale-figure reconciled</t>
        </is>
      </c>
    </row>
    <row r="15" ht="25.5" customHeight="1">
      <c r="B15" s="16" t="n"/>
      <c r="C15" s="16" t="n"/>
      <c r="D15" s="16" t="n"/>
      <c r="E15" s="16" t="n"/>
      <c r="F15" s="16" t="n"/>
    </row>
  </sheetData>
  <mergeCells count="1">
    <mergeCell ref="B2:F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2026-04-10T02:50:43Z</dcterms:created>
  <dcterms:modified xmlns:dcterms="http://purl.org/dc/terms/" xmlns:xsi="http://www.w3.org/2001/XMLSchema-instance" xsi:type="dcterms:W3CDTF">2026-09-20T16:11:36Z</dcterms:modified>
  <cp:lastModifiedBy>صموئيل موسى ولسن موسى</cp:lastModifiedBy>
  <cp:revision>0</cp:revision>
</cp:coreProperties>
</file>